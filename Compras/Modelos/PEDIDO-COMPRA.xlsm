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IPOLATTI\SISTEMAS\Compras\Compras\Modelos\"/>
    </mc:Choice>
  </mc:AlternateContent>
  <xr:revisionPtr revIDLastSave="0" documentId="13_ncr:1_{16085550-DB47-4FAB-A998-4CC3296F985C}" xr6:coauthVersionLast="47" xr6:coauthVersionMax="47" xr10:uidLastSave="{00000000-0000-0000-0000-000000000000}"/>
  <bookViews>
    <workbookView xWindow="38280" yWindow="-15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  <definedName name="condicoes">condicoes!$2:$1048576</definedName>
    <definedName name="empresas">empresas!$2:$1048576</definedName>
    <definedName name="fornecedores">fornecedores!$2:$1048576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<sst xmlns="http://schemas.openxmlformats.org/spreadsheetml/2006/main" count="308" uniqueCount="113">
  <si>
    <t>PEDIDO DE COMPRA</t>
  </si>
  <si>
    <t>DATA:</t>
  </si>
  <si>
    <t>EMPRESA:</t>
  </si>
  <si>
    <t>FORNECEDOR: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</si>
  <si>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</si>
  <si>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</si>
  <si>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</si>
  <si>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</si>
  <si>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</si>
  <si>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</si>
  <si>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</si>
  <si>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</si>
  <si>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</si>
  <si>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</si>
  <si>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</si>
  <si>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</si>
  <si>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</si>
  <si>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</si>
  <si>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</si>
  <si>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</si>
  <si>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</si>
  <si>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</si>
  <si>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</si>
  <si>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</si>
  <si>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</si>
  <si>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</si>
  <si>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</si>
  <si>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</si>
  <si>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</si>
  <si>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</si>
  <si>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</si>
  <si>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</si>
  <si>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</si>
  <si>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</si>
  <si>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</si>
  <si>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</si>
  <si>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</si>
  <si>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</si>
  <si>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</si>
  <si>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</si>
  <si>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</si>
  <si>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</si>
  <si>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</si>
  <si>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</si>
  <si>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</si>
  <si>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</si>
  <si>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</si>
  <si>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</si>
  <si>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</si>
  <si>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</si>
  <si>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</si>
  <si>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</si>
  <si>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</si>
  <si>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</si>
  <si>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</si>
  <si>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</si>
  <si>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</si>
  <si>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</si>
  <si>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</si>
  <si>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</si>
  <si>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</si>
  <si>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</si>
  <si>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</si>
  <si>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</si>
  <si>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</si>
  <si>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</si>
  <si>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</si>
  <si>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</si>
  <si>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</si>
  <si>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</si>
  <si>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</si>
  <si>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</si>
  <si>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</si>
  <si>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</si>
  <si>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</si>
  <si>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</si>
  <si>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</si>
  <si>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</si>
  <si>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</si>
  <si>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</si>
  <si>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</si>
  <si>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</si>
  <si>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</si>
  <si>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</si>
  <si>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</si>
  <si>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</si>
  <si>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</si>
  <si>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</si>
  <si>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</si>
  <si>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</si>
  <si>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</si>
  <si>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</si>
  <si>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</si>
  <si>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</si>
  <si>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</si>
  <si>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</si>
  <si>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</si>
  <si>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</si>
  <si>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</si>
  <si>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</si>
  <si>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</si>
  <si>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</si>
  <si>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</si>
  <si>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</si>
  <si>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</si>
  <si>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</si>
  <si>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</si>
  <si>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</si>
  <si>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</si>
  <si>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</si>
  <si>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</si>
  <si>
    <t>Nº NOTA:</t>
  </si>
  <si>
    <t>CONDIÇÃO DE PAGAMENTO: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</si>
</sst>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C9" sqref="C9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2" t="s">
        <v>0</v>
      </c>
      <c r="B1" s="22"/>
      <c r="C1" s="22"/>
      <c r="D1" s="22"/>
      <c r="E1" s="22"/>
      <c r="F1" s="22"/>
      <c r="G1" s="22"/>
    </row>
    <row r="2" spans="1:9" ht="15" customHeight="1" x14ac:dyDescent="0.25">
      <c r="A2" s="22"/>
      <c r="B2" s="22"/>
      <c r="C2" s="22"/>
      <c r="D2" s="22"/>
      <c r="E2" s="22"/>
      <c r="F2" s="22"/>
      <c r="G2" s="22"/>
    </row>
    <row r="3" spans="1:9" ht="15" customHeight="1" x14ac:dyDescent="0.25">
      <c r="A3" s="22"/>
      <c r="B3" s="22"/>
      <c r="C3" s="22"/>
      <c r="D3" s="22"/>
      <c r="E3" s="22"/>
      <c r="F3" s="22"/>
      <c r="G3" s="22"/>
    </row>
    <row r="4" spans="1:9" x14ac:dyDescent="0.25">
      <c r="D4" s="2" t="s">
        <v>9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3" t="s">
        <v>2</v>
      </c>
      <c r="B6" s="24"/>
      <c r="C6" s="28">
        <v>7</v>
      </c>
      <c r="D6" s="28"/>
      <c r="E6" s="28"/>
      <c r="F6" s="28"/>
      <c r="G6" s="28"/>
    </row>
    <row r="7" spans="1:9" ht="20.25" customHeight="1" x14ac:dyDescent="0.25">
      <c r="A7" s="23" t="s">
        <v>3</v>
      </c>
      <c r="B7" s="24"/>
      <c r="C7" s="28" t="e">
        <v>#N/A</v>
      </c>
      <c r="D7" s="28"/>
      <c r="E7" s="28"/>
      <c r="F7" s="28"/>
      <c r="G7" s="28"/>
    </row>
    <row r="8" spans="1:9" ht="20.25" customHeight="1" x14ac:dyDescent="0.25">
      <c r="A8" s="23" t="s">
        <v>112</v>
      </c>
      <c r="B8" s="25"/>
      <c r="C8" s="24"/>
      <c r="D8" s="29" t="s">
        <v>109</v>
      </c>
      <c r="E8" s="30"/>
      <c r="F8" s="30"/>
      <c r="G8" s="31"/>
    </row>
    <row r="9" spans="1:9" x14ac:dyDescent="0.25">
      <c r="A9" s="26" t="s">
        <v>8</v>
      </c>
      <c r="B9" s="27"/>
      <c r="C9" s="16"/>
      <c r="D9" s="17" t="s">
        <v>110</v>
      </c>
      <c r="E9" s="18"/>
      <c r="F9" s="18" t="s">
        <v>111</v>
      </c>
      <c r="G9" s="18"/>
    </row>
    <row r="11" spans="1:9" x14ac:dyDescent="0.25">
      <c r="A11" s="1" t="s">
        <v>47</v>
      </c>
      <c r="B11" s="32" t="s">
        <v>4</v>
      </c>
      <c r="C11" s="32"/>
      <c r="D11" s="32"/>
      <c r="E11" s="1" t="s">
        <v>5</v>
      </c>
      <c r="F11" s="1" t="s">
        <v>6</v>
      </c>
      <c r="G11" s="1" t="s">
        <v>7</v>
      </c>
      <c r="H11" s="6" t="s">
        <v>11</v>
      </c>
      <c r="I11" s="6" t="s">
        <v>12</v>
      </c>
    </row>
    <row r="12" spans="1:9" ht="30" customHeight="1" x14ac:dyDescent="0.25">
      <c r="A12" s="9"/>
      <c r="B12" s="33"/>
      <c r="C12" s="34"/>
      <c r="D12" s="35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5"/>
    </row>
    <row r="13" spans="1:9" ht="30" customHeight="1" x14ac:dyDescent="0.25">
      <c r="A13" s="9"/>
      <c r="B13" s="33"/>
      <c r="C13" s="34"/>
      <c r="D13" s="35"/>
      <c r="E13" s="11"/>
      <c r="F13" s="12"/>
      <c r="G13" s="10">
        <f t="shared" si="0"/>
        <v>0</v>
      </c>
      <c r="H13" s="13" t="str">
        <f t="shared" si="1"/>
        <v>REPROVADO</v>
      </c>
      <c r="I13" s="15"/>
    </row>
    <row r="14" spans="1:9" ht="30" customHeight="1" x14ac:dyDescent="0.25">
      <c r="A14" s="9"/>
      <c r="B14" s="33"/>
      <c r="C14" s="34"/>
      <c r="D14" s="35"/>
      <c r="E14" s="11"/>
      <c r="F14" s="12"/>
      <c r="G14" s="10">
        <f t="shared" si="0"/>
        <v>0</v>
      </c>
      <c r="H14" s="13" t="str">
        <f t="shared" si="1"/>
        <v>REPROVADO</v>
      </c>
      <c r="I14" s="15"/>
    </row>
    <row r="15" spans="1:9" ht="30" customHeight="1" x14ac:dyDescent="0.25">
      <c r="A15" s="9"/>
      <c r="B15" s="33"/>
      <c r="C15" s="34"/>
      <c r="D15" s="35"/>
      <c r="E15" s="11"/>
      <c r="F15" s="12"/>
      <c r="G15" s="10">
        <f t="shared" si="0"/>
        <v>0</v>
      </c>
      <c r="H15" s="13" t="str">
        <f t="shared" si="1"/>
        <v>REPROVADO</v>
      </c>
      <c r="I15" s="15"/>
    </row>
    <row r="16" spans="1:9" ht="30" customHeight="1" x14ac:dyDescent="0.25">
      <c r="A16" s="9"/>
      <c r="B16" s="33"/>
      <c r="C16" s="34"/>
      <c r="D16" s="35"/>
      <c r="E16" s="11"/>
      <c r="F16" s="12"/>
      <c r="G16" s="10">
        <f t="shared" si="0"/>
        <v>0</v>
      </c>
      <c r="H16" s="13" t="str">
        <f t="shared" si="1"/>
        <v>REPROVADO</v>
      </c>
      <c r="I16" s="15"/>
    </row>
    <row r="17" spans="1:9" ht="30" customHeight="1" x14ac:dyDescent="0.25">
      <c r="A17" s="9"/>
      <c r="B17" s="33"/>
      <c r="C17" s="34"/>
      <c r="D17" s="35"/>
      <c r="E17" s="11"/>
      <c r="F17" s="12"/>
      <c r="G17" s="10">
        <f t="shared" si="0"/>
        <v>0</v>
      </c>
      <c r="H17" s="13" t="str">
        <f t="shared" si="1"/>
        <v>REPROVADO</v>
      </c>
      <c r="I17" s="15"/>
    </row>
    <row r="18" spans="1:9" ht="30" customHeight="1" x14ac:dyDescent="0.25">
      <c r="A18" s="9"/>
      <c r="B18" s="33"/>
      <c r="C18" s="34"/>
      <c r="D18" s="35"/>
      <c r="E18" s="11"/>
      <c r="F18" s="12"/>
      <c r="G18" s="10">
        <f t="shared" si="0"/>
        <v>0</v>
      </c>
      <c r="H18" s="13" t="str">
        <f t="shared" si="1"/>
        <v>REPROVADO</v>
      </c>
      <c r="I18" s="15"/>
    </row>
    <row r="19" spans="1:9" ht="30" customHeight="1" x14ac:dyDescent="0.25">
      <c r="A19" s="9"/>
      <c r="B19" s="33"/>
      <c r="C19" s="34"/>
      <c r="D19" s="35"/>
      <c r="E19" s="11"/>
      <c r="F19" s="12"/>
      <c r="G19" s="10">
        <f t="shared" si="0"/>
        <v>0</v>
      </c>
      <c r="H19" s="13" t="str">
        <f t="shared" si="1"/>
        <v>REPROVADO</v>
      </c>
      <c r="I19" s="15"/>
    </row>
    <row r="20" spans="1:9" ht="30" customHeight="1" x14ac:dyDescent="0.25">
      <c r="A20" s="9"/>
      <c r="B20" s="33"/>
      <c r="C20" s="34"/>
      <c r="D20" s="35"/>
      <c r="E20" s="11"/>
      <c r="F20" s="12"/>
      <c r="G20" s="10">
        <f t="shared" si="0"/>
        <v>0</v>
      </c>
      <c r="H20" s="13" t="str">
        <f t="shared" si="1"/>
        <v>REPROVADO</v>
      </c>
      <c r="I20" s="15"/>
    </row>
    <row r="21" spans="1:9" ht="30" customHeight="1" x14ac:dyDescent="0.25">
      <c r="A21" s="9"/>
      <c r="B21" s="33"/>
      <c r="C21" s="34"/>
      <c r="D21" s="35"/>
      <c r="E21" s="11"/>
      <c r="F21" s="12"/>
      <c r="G21" s="10">
        <f t="shared" si="0"/>
        <v>0</v>
      </c>
      <c r="H21" s="13" t="str">
        <f t="shared" si="1"/>
        <v>REPROVADO</v>
      </c>
      <c r="I21" s="15"/>
    </row>
    <row r="22" spans="1:9" ht="30" customHeight="1" x14ac:dyDescent="0.25">
      <c r="A22" s="9"/>
      <c r="B22" s="33"/>
      <c r="C22" s="34"/>
      <c r="D22" s="35"/>
      <c r="E22" s="11"/>
      <c r="F22" s="12"/>
      <c r="G22" s="10">
        <f t="shared" si="0"/>
        <v>0</v>
      </c>
      <c r="H22" s="13" t="str">
        <f t="shared" si="1"/>
        <v>REPROVADO</v>
      </c>
      <c r="I22" s="15"/>
    </row>
    <row r="23" spans="1:9" ht="30" customHeight="1" x14ac:dyDescent="0.25">
      <c r="A23" s="9"/>
      <c r="B23" s="33"/>
      <c r="C23" s="34"/>
      <c r="D23" s="35"/>
      <c r="E23" s="11"/>
      <c r="F23" s="12"/>
      <c r="G23" s="10">
        <f t="shared" si="0"/>
        <v>0</v>
      </c>
      <c r="H23" s="13" t="str">
        <f t="shared" si="1"/>
        <v>REPROVADO</v>
      </c>
      <c r="I23" s="15"/>
    </row>
    <row r="24" spans="1:9" ht="30" customHeight="1" x14ac:dyDescent="0.25">
      <c r="A24" s="9"/>
      <c r="B24" s="33"/>
      <c r="C24" s="34"/>
      <c r="D24" s="35"/>
      <c r="E24" s="11"/>
      <c r="F24" s="12"/>
      <c r="G24" s="10">
        <f t="shared" si="0"/>
        <v>0</v>
      </c>
      <c r="H24" s="13" t="str">
        <f t="shared" si="1"/>
        <v>REPROVADO</v>
      </c>
      <c r="I24" s="15"/>
    </row>
    <row r="25" spans="1:9" ht="30" customHeight="1" x14ac:dyDescent="0.25">
      <c r="A25" s="9"/>
      <c r="B25" s="33"/>
      <c r="C25" s="34"/>
      <c r="D25" s="35"/>
      <c r="E25" s="11"/>
      <c r="F25" s="12"/>
      <c r="G25" s="10">
        <f t="shared" si="0"/>
        <v>0</v>
      </c>
      <c r="H25" s="13" t="str">
        <f t="shared" si="1"/>
        <v>REPROVADO</v>
      </c>
      <c r="I25" s="15"/>
    </row>
    <row r="26" spans="1:9" ht="30" customHeight="1" x14ac:dyDescent="0.25">
      <c r="A26" s="9"/>
      <c r="B26" s="33"/>
      <c r="C26" s="34"/>
      <c r="D26" s="35"/>
      <c r="E26" s="11"/>
      <c r="F26" s="12"/>
      <c r="G26" s="10">
        <f t="shared" si="0"/>
        <v>0</v>
      </c>
      <c r="H26" s="13" t="str">
        <f t="shared" si="1"/>
        <v>REPROVADO</v>
      </c>
      <c r="I26" s="15"/>
    </row>
    <row r="27" spans="1:9" ht="30" customHeight="1" x14ac:dyDescent="0.25">
      <c r="A27" s="9"/>
      <c r="B27" s="33"/>
      <c r="C27" s="34"/>
      <c r="D27" s="35"/>
      <c r="E27" s="11"/>
      <c r="F27" s="12"/>
      <c r="G27" s="10">
        <f t="shared" si="0"/>
        <v>0</v>
      </c>
      <c r="H27" s="13" t="str">
        <f t="shared" si="1"/>
        <v>REPROVADO</v>
      </c>
      <c r="I27" s="15"/>
    </row>
    <row r="28" spans="1:9" ht="30" customHeight="1" x14ac:dyDescent="0.25">
      <c r="A28" s="9"/>
      <c r="B28" s="33"/>
      <c r="C28" s="34"/>
      <c r="D28" s="35"/>
      <c r="E28" s="11"/>
      <c r="F28" s="12"/>
      <c r="G28" s="10">
        <f t="shared" si="0"/>
        <v>0</v>
      </c>
      <c r="H28" s="13" t="str">
        <f t="shared" si="1"/>
        <v>REPROVADO</v>
      </c>
      <c r="I28" s="15"/>
    </row>
    <row r="29" spans="1:9" ht="30" customHeight="1" x14ac:dyDescent="0.25">
      <c r="A29" s="9"/>
      <c r="B29" s="33"/>
      <c r="C29" s="34"/>
      <c r="D29" s="35"/>
      <c r="E29" s="11"/>
      <c r="F29" s="12"/>
      <c r="G29" s="10">
        <f t="shared" si="0"/>
        <v>0</v>
      </c>
      <c r="H29" s="13" t="str">
        <f t="shared" si="1"/>
        <v>REPROVADO</v>
      </c>
      <c r="I29" s="15"/>
    </row>
    <row r="30" spans="1:9" ht="30" customHeight="1" x14ac:dyDescent="0.25">
      <c r="A30" s="9"/>
      <c r="B30" s="33"/>
      <c r="C30" s="34"/>
      <c r="D30" s="35"/>
      <c r="E30" s="11"/>
      <c r="F30" s="12"/>
      <c r="G30" s="10">
        <f t="shared" si="0"/>
        <v>0</v>
      </c>
      <c r="H30" s="13" t="str">
        <f t="shared" si="1"/>
        <v>REPROVADO</v>
      </c>
      <c r="I30" s="15"/>
    </row>
    <row r="31" spans="1:9" ht="30" customHeight="1" x14ac:dyDescent="0.25">
      <c r="A31" s="9"/>
      <c r="B31" s="33"/>
      <c r="C31" s="34"/>
      <c r="D31" s="35"/>
      <c r="E31" s="11"/>
      <c r="F31" s="12"/>
      <c r="G31" s="10">
        <f t="shared" si="0"/>
        <v>0</v>
      </c>
      <c r="H31" s="13" t="str">
        <f t="shared" si="1"/>
        <v>REPROVADO</v>
      </c>
      <c r="I31" s="15"/>
    </row>
    <row r="32" spans="1:9" s="7" customFormat="1" ht="30" customHeight="1" x14ac:dyDescent="0.25">
      <c r="A32" s="9"/>
      <c r="B32" s="33"/>
      <c r="C32" s="34"/>
      <c r="D32" s="35"/>
      <c r="E32" s="11"/>
      <c r="F32" s="12"/>
      <c r="G32" s="10">
        <f>E32*F32</f>
        <v>0</v>
      </c>
      <c r="H32" s="13" t="str">
        <f>IF(F32&lt;=0,"REPROVADO","APROVADO")</f>
        <v>REPROVADO</v>
      </c>
      <c r="I32" s="14"/>
    </row>
    <row r="33" spans="1:10" s="7" customFormat="1" ht="30" customHeight="1" x14ac:dyDescent="0.25">
      <c r="A33" s="9"/>
      <c r="B33" s="33"/>
      <c r="C33" s="34"/>
      <c r="D33" s="35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4"/>
    </row>
    <row r="34" spans="1:10" s="7" customFormat="1" ht="30" customHeight="1" x14ac:dyDescent="0.25">
      <c r="A34" s="9"/>
      <c r="B34" s="33"/>
      <c r="C34" s="34"/>
      <c r="D34" s="35"/>
      <c r="E34" s="11"/>
      <c r="F34" s="12"/>
      <c r="G34" s="10">
        <f t="shared" si="2"/>
        <v>0</v>
      </c>
      <c r="H34" s="13" t="str">
        <f t="shared" si="3"/>
        <v>REPROVADO</v>
      </c>
      <c r="I34" s="14"/>
    </row>
    <row r="35" spans="1:10" s="7" customFormat="1" ht="30" customHeight="1" x14ac:dyDescent="0.25">
      <c r="A35" s="9"/>
      <c r="B35" s="33"/>
      <c r="C35" s="34"/>
      <c r="D35" s="35"/>
      <c r="E35" s="11"/>
      <c r="F35" s="12"/>
      <c r="G35" s="10">
        <f t="shared" si="2"/>
        <v>0</v>
      </c>
      <c r="H35" s="13" t="str">
        <f t="shared" si="3"/>
        <v>REPROVADO</v>
      </c>
      <c r="I35" s="14"/>
    </row>
    <row r="36" spans="1:10" s="7" customFormat="1" ht="30" customHeight="1" x14ac:dyDescent="0.25">
      <c r="A36" s="9"/>
      <c r="B36" s="33"/>
      <c r="C36" s="34"/>
      <c r="D36" s="35"/>
      <c r="E36" s="11"/>
      <c r="F36" s="12"/>
      <c r="G36" s="10">
        <f t="shared" si="2"/>
        <v>0</v>
      </c>
      <c r="H36" s="13" t="str">
        <f t="shared" si="3"/>
        <v>REPROVADO</v>
      </c>
      <c r="I36" s="14"/>
    </row>
    <row r="37" spans="1:10" s="7" customFormat="1" ht="30" customHeight="1" x14ac:dyDescent="0.25">
      <c r="A37" s="9"/>
      <c r="B37" s="33"/>
      <c r="C37" s="34"/>
      <c r="D37" s="35"/>
      <c r="E37" s="11"/>
      <c r="F37" s="12"/>
      <c r="G37" s="10">
        <f t="shared" si="2"/>
        <v>0</v>
      </c>
      <c r="H37" s="13" t="str">
        <f t="shared" si="3"/>
        <v>REPROVADO</v>
      </c>
      <c r="I37" s="14"/>
    </row>
    <row r="38" spans="1:10" s="7" customFormat="1" ht="30" customHeight="1" x14ac:dyDescent="0.25">
      <c r="A38" s="9"/>
      <c r="B38" s="33"/>
      <c r="C38" s="34"/>
      <c r="D38" s="35"/>
      <c r="E38" s="11"/>
      <c r="F38" s="12"/>
      <c r="G38" s="10">
        <f t="shared" si="2"/>
        <v>0</v>
      </c>
      <c r="H38" s="13" t="str">
        <f t="shared" si="3"/>
        <v>REPROVADO</v>
      </c>
      <c r="I38" s="14"/>
    </row>
    <row r="39" spans="1:10" s="7" customFormat="1" ht="30" customHeight="1" x14ac:dyDescent="0.25">
      <c r="A39" s="9"/>
      <c r="B39" s="33"/>
      <c r="C39" s="34"/>
      <c r="D39" s="35"/>
      <c r="E39" s="11"/>
      <c r="F39" s="12"/>
      <c r="G39" s="10">
        <f t="shared" si="2"/>
        <v>0</v>
      </c>
      <c r="H39" s="13" t="str">
        <f t="shared" si="3"/>
        <v>REPROVADO</v>
      </c>
      <c r="I39" s="14"/>
    </row>
    <row r="40" spans="1:10" s="7" customFormat="1" ht="30" customHeight="1" x14ac:dyDescent="0.25">
      <c r="A40" s="9"/>
      <c r="B40" s="33"/>
      <c r="C40" s="34"/>
      <c r="D40" s="35"/>
      <c r="E40" s="11"/>
      <c r="F40" s="12"/>
      <c r="G40" s="10">
        <f t="shared" si="2"/>
        <v>0</v>
      </c>
      <c r="H40" s="13" t="str">
        <f t="shared" si="3"/>
        <v>REPROVADO</v>
      </c>
      <c r="I40" s="14"/>
    </row>
    <row r="41" spans="1:10" s="7" customFormat="1" ht="30" customHeight="1" x14ac:dyDescent="0.25">
      <c r="A41" s="9"/>
      <c r="B41" s="33"/>
      <c r="C41" s="34"/>
      <c r="D41" s="35"/>
      <c r="E41" s="11"/>
      <c r="F41" s="12"/>
      <c r="G41" s="10">
        <f t="shared" si="2"/>
        <v>0</v>
      </c>
      <c r="H41" s="13" t="str">
        <f t="shared" si="3"/>
        <v>REPROVADO</v>
      </c>
      <c r="I41" s="14"/>
    </row>
    <row r="42" spans="1:10" s="7" customFormat="1" ht="30" customHeight="1" x14ac:dyDescent="0.25">
      <c r="A42" s="9"/>
      <c r="B42" s="33"/>
      <c r="C42" s="34"/>
      <c r="D42" s="35"/>
      <c r="E42" s="11"/>
      <c r="F42" s="12"/>
      <c r="G42" s="10">
        <f t="shared" si="2"/>
        <v>0</v>
      </c>
      <c r="H42" s="13" t="str">
        <f t="shared" si="3"/>
        <v>REPROVADO</v>
      </c>
      <c r="I42" s="14"/>
    </row>
    <row r="43" spans="1:10" s="7" customFormat="1" ht="30" customHeight="1" x14ac:dyDescent="0.25">
      <c r="A43" s="9"/>
      <c r="B43" s="33"/>
      <c r="C43" s="34"/>
      <c r="D43" s="35"/>
      <c r="E43" s="11"/>
      <c r="F43" s="12"/>
      <c r="G43" s="10">
        <f t="shared" si="2"/>
        <v>0</v>
      </c>
      <c r="H43" s="13" t="str">
        <f t="shared" si="3"/>
        <v>REPROVADO</v>
      </c>
      <c r="I43" s="14"/>
      <c r="J43" s="8"/>
    </row>
    <row r="44" spans="1:10" s="7" customFormat="1" ht="30" customHeight="1" x14ac:dyDescent="0.25">
      <c r="A44" s="9"/>
      <c r="B44" s="33"/>
      <c r="C44" s="34"/>
      <c r="D44" s="35"/>
      <c r="E44" s="11"/>
      <c r="F44" s="12"/>
      <c r="G44" s="10">
        <f t="shared" si="2"/>
        <v>0</v>
      </c>
      <c r="H44" s="13" t="str">
        <f t="shared" si="3"/>
        <v>REPROVADO</v>
      </c>
      <c r="I44" s="14"/>
    </row>
    <row r="45" spans="1:10" s="7" customFormat="1" ht="30" customHeight="1" x14ac:dyDescent="0.25">
      <c r="A45" s="9"/>
      <c r="B45" s="33"/>
      <c r="C45" s="34"/>
      <c r="D45" s="35"/>
      <c r="E45" s="11"/>
      <c r="F45" s="12"/>
      <c r="G45" s="10">
        <f t="shared" si="2"/>
        <v>0</v>
      </c>
      <c r="H45" s="13" t="str">
        <f t="shared" si="3"/>
        <v>REPROVADO</v>
      </c>
      <c r="I45" s="14"/>
    </row>
    <row r="46" spans="1:10" s="7" customFormat="1" ht="30" customHeight="1" x14ac:dyDescent="0.25">
      <c r="A46" s="9"/>
      <c r="B46" s="33"/>
      <c r="C46" s="34"/>
      <c r="D46" s="35"/>
      <c r="E46" s="11"/>
      <c r="F46" s="12"/>
      <c r="G46" s="10">
        <f t="shared" si="2"/>
        <v>0</v>
      </c>
      <c r="H46" s="13" t="str">
        <f t="shared" si="3"/>
        <v>REPROVADO</v>
      </c>
      <c r="I46" s="14"/>
    </row>
    <row r="47" spans="1:10" s="7" customFormat="1" ht="30" customHeight="1" x14ac:dyDescent="0.25">
      <c r="A47" s="9"/>
      <c r="B47" s="33"/>
      <c r="C47" s="34"/>
      <c r="D47" s="35"/>
      <c r="E47" s="11"/>
      <c r="F47" s="12"/>
      <c r="G47" s="10">
        <f t="shared" si="2"/>
        <v>0</v>
      </c>
      <c r="H47" s="13" t="str">
        <f t="shared" si="3"/>
        <v>REPROVADO</v>
      </c>
      <c r="I47" s="14"/>
    </row>
    <row r="48" spans="1:10" s="7" customFormat="1" ht="30" customHeight="1" x14ac:dyDescent="0.25">
      <c r="A48" s="9"/>
      <c r="B48" s="33"/>
      <c r="C48" s="34"/>
      <c r="D48" s="35"/>
      <c r="E48" s="11"/>
      <c r="F48" s="12"/>
      <c r="G48" s="10">
        <f t="shared" si="2"/>
        <v>0</v>
      </c>
      <c r="H48" s="13" t="str">
        <f t="shared" si="3"/>
        <v>REPROVADO</v>
      </c>
      <c r="I48" s="14"/>
    </row>
    <row r="49" spans="1:9" s="7" customFormat="1" ht="30" customHeight="1" x14ac:dyDescent="0.25">
      <c r="A49" s="9"/>
      <c r="B49" s="33"/>
      <c r="C49" s="34"/>
      <c r="D49" s="35"/>
      <c r="E49" s="11"/>
      <c r="F49" s="12"/>
      <c r="G49" s="10">
        <f t="shared" si="2"/>
        <v>0</v>
      </c>
      <c r="H49" s="13" t="str">
        <f t="shared" si="3"/>
        <v>REPROVADO</v>
      </c>
      <c r="I49" s="14"/>
    </row>
    <row r="50" spans="1:9" s="7" customFormat="1" ht="30" customHeight="1" x14ac:dyDescent="0.25">
      <c r="A50" s="9"/>
      <c r="B50" s="33"/>
      <c r="C50" s="34"/>
      <c r="D50" s="35"/>
      <c r="E50" s="11"/>
      <c r="F50" s="12"/>
      <c r="G50" s="10">
        <f t="shared" si="2"/>
        <v>0</v>
      </c>
      <c r="H50" s="13" t="str">
        <f t="shared" si="3"/>
        <v>REPROVADO</v>
      </c>
      <c r="I50" s="14"/>
    </row>
    <row r="51" spans="1:9" s="7" customFormat="1" ht="30" customHeight="1" x14ac:dyDescent="0.25">
      <c r="A51" s="9"/>
      <c r="B51" s="33"/>
      <c r="C51" s="34"/>
      <c r="D51" s="35"/>
      <c r="E51" s="11"/>
      <c r="F51" s="12"/>
      <c r="G51" s="10">
        <f t="shared" si="2"/>
        <v>0</v>
      </c>
      <c r="H51" s="13" t="str">
        <f t="shared" si="3"/>
        <v>REPROVADO</v>
      </c>
      <c r="I51" s="14"/>
    </row>
    <row r="52" spans="1:9" x14ac:dyDescent="0.25">
      <c r="A52" s="19" t="s">
        <v>10</v>
      </c>
      <c r="B52" s="20"/>
      <c r="C52" s="20"/>
      <c r="D52" s="20"/>
      <c r="E52" s="20"/>
      <c r="F52" s="21"/>
      <c r="G52" s="5">
        <f>SUM(G12:G51)</f>
        <v>0</v>
      </c>
    </row>
  </sheetData>
  <sheetProtection algorithmName="SHA-512" hashValue="KbguFuujw4+/m8GBT1KG0XqasVasrP3gYkOLO3xSweZbruE+tUrmeWDWRwofEb9wABeCFyKzvAd8rTLX/cEMEg==" saltValue="gjSzYtt99tHWPvQzz+Lo1w==" spinCount="100000" sheet="1" objects="1" scenarios="1" formatCells="0" formatColumns="0" formatRows="0"/>
  <mergeCells count="50">
    <mergeCell ref="B27:D27"/>
    <mergeCell ref="B28:D28"/>
    <mergeCell ref="B29:D29"/>
    <mergeCell ref="B30:D30"/>
    <mergeCell ref="B31:D31"/>
    <mergeCell ref="B22:D22"/>
    <mergeCell ref="B23:D23"/>
    <mergeCell ref="B24:D24"/>
    <mergeCell ref="B25:D25"/>
    <mergeCell ref="B26:D26"/>
    <mergeCell ref="B17:D17"/>
    <mergeCell ref="B18:D18"/>
    <mergeCell ref="B19:D19"/>
    <mergeCell ref="B20:D20"/>
    <mergeCell ref="B21:D21"/>
    <mergeCell ref="B12:D12"/>
    <mergeCell ref="B13:D13"/>
    <mergeCell ref="B14:D14"/>
    <mergeCell ref="B15:D15"/>
    <mergeCell ref="B16:D16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51:D51"/>
    <mergeCell ref="B50:D50"/>
    <mergeCell ref="B49:D49"/>
    <mergeCell ref="B48:D48"/>
    <mergeCell ref="B47:D47"/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bPagamento">
          <controlPr defaultSize="0" autoLine="0" linkedCell="D8" listFillRange="condicoes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4" name="CmbPagamento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49" r:id="rId8" name="empresas">
          <controlPr defaultSize="0" autoLine="0" linkedCell="C6" listFillRange="empresas" r:id="rId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8" name="empresas"/>
      </mc:Fallback>
    </mc:AlternateContent>
    <mc:AlternateContent xmlns:mc="http://schemas.openxmlformats.org/markup-compatibility/2006">
      <mc:Choice Requires="x14">
        <control shapeId="2052" r:id="rId10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1:AE2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:Q14"/>
  <sheetViews>
    <sheetView workbookViewId="0">
      <selection sqref="A1:XFD1048576"/>
    </sheetView>
  </sheetViews>
  <sheetFormatPr defaultRowHeight="15" x14ac:dyDescent="0.25"/>
  <sheetData>
    <row r="1" spans="1:17" x14ac:dyDescent="0.25">
      <c r="A1" t="s">
        <v>14</v>
      </c>
      <c r="B1" t="s">
        <v>15</v>
      </c>
      <c r="C1" t="s">
        <v>48</v>
      </c>
      <c r="D1" t="s">
        <v>49</v>
      </c>
      <c r="E1" t="s">
        <v>50</v>
      </c>
      <c r="F1" t="s">
        <v>51</v>
      </c>
      <c r="G1" t="s">
        <v>28</v>
      </c>
      <c r="H1" t="s">
        <v>29</v>
      </c>
      <c r="I1" t="s">
        <v>30</v>
      </c>
      <c r="J1" t="s">
        <v>52</v>
      </c>
      <c r="K1" t="s">
        <v>31</v>
      </c>
      <c r="L1" t="s">
        <v>53</v>
      </c>
      <c r="M1" t="s">
        <v>32</v>
      </c>
      <c r="N1" t="s">
        <v>54</v>
      </c>
      <c r="O1" t="s">
        <v>55</v>
      </c>
      <c r="P1" t="s">
        <v>56</v>
      </c>
      <c r="Q1" t="s">
        <v>57</v>
      </c>
    </row>
    <row r="2" spans="1:17" x14ac:dyDescent="0.25">
      <c r="A2">
        <v>4</v>
      </c>
      <c r="B2" t="s">
        <v>16</v>
      </c>
      <c r="C2" t="s">
        <v>58</v>
      </c>
      <c r="D2" t="s">
        <v>59</v>
      </c>
      <c r="E2" t="s">
        <v>60</v>
      </c>
      <c r="G2" t="s">
        <v>41</v>
      </c>
      <c r="H2" t="s">
        <v>35</v>
      </c>
      <c r="I2" t="s">
        <v>34</v>
      </c>
      <c r="J2" t="s">
        <v>61</v>
      </c>
      <c r="K2" t="s">
        <v>62</v>
      </c>
      <c r="L2" t="s">
        <v>63</v>
      </c>
      <c r="M2" t="s">
        <v>64</v>
      </c>
      <c r="N2">
        <v>701</v>
      </c>
      <c r="O2" t="s">
        <v>65</v>
      </c>
    </row>
    <row r="3" spans="1:17" x14ac:dyDescent="0.25">
      <c r="A3">
        <v>5</v>
      </c>
      <c r="B3" t="s">
        <v>17</v>
      </c>
      <c r="C3" t="s">
        <v>66</v>
      </c>
      <c r="D3" t="s">
        <v>59</v>
      </c>
      <c r="E3" t="s">
        <v>67</v>
      </c>
      <c r="F3" t="s">
        <v>68</v>
      </c>
      <c r="G3" t="s">
        <v>41</v>
      </c>
      <c r="H3" t="s">
        <v>35</v>
      </c>
      <c r="I3" t="s">
        <v>34</v>
      </c>
      <c r="J3" t="s">
        <v>61</v>
      </c>
      <c r="K3" t="s">
        <v>62</v>
      </c>
      <c r="L3" t="s">
        <v>63</v>
      </c>
      <c r="M3" t="s">
        <v>64</v>
      </c>
      <c r="N3">
        <v>901</v>
      </c>
      <c r="O3" t="s">
        <v>69</v>
      </c>
    </row>
    <row r="4" spans="1:17" x14ac:dyDescent="0.25">
      <c r="A4">
        <v>1</v>
      </c>
      <c r="B4" t="s">
        <v>18</v>
      </c>
      <c r="C4" t="s">
        <v>70</v>
      </c>
      <c r="D4" t="s">
        <v>71</v>
      </c>
      <c r="E4" t="s">
        <v>37</v>
      </c>
      <c r="F4" t="s">
        <v>38</v>
      </c>
      <c r="G4" t="s">
        <v>72</v>
      </c>
      <c r="H4" t="s">
        <v>33</v>
      </c>
      <c r="I4" t="s">
        <v>34</v>
      </c>
      <c r="J4" t="s">
        <v>61</v>
      </c>
      <c r="K4" t="s">
        <v>62</v>
      </c>
      <c r="L4" t="s">
        <v>63</v>
      </c>
      <c r="M4" t="s">
        <v>64</v>
      </c>
      <c r="N4">
        <v>101</v>
      </c>
      <c r="O4" t="s">
        <v>73</v>
      </c>
    </row>
    <row r="5" spans="1:17" x14ac:dyDescent="0.25">
      <c r="A5">
        <v>7</v>
      </c>
      <c r="B5" t="s">
        <v>19</v>
      </c>
      <c r="C5" t="s">
        <v>74</v>
      </c>
      <c r="D5" t="s">
        <v>75</v>
      </c>
      <c r="E5" t="s">
        <v>45</v>
      </c>
      <c r="F5" t="s">
        <v>76</v>
      </c>
      <c r="G5" t="s">
        <v>39</v>
      </c>
      <c r="H5" t="s">
        <v>36</v>
      </c>
      <c r="I5" t="s">
        <v>34</v>
      </c>
      <c r="J5" t="s">
        <v>77</v>
      </c>
      <c r="K5" t="s">
        <v>78</v>
      </c>
      <c r="L5" t="s">
        <v>79</v>
      </c>
      <c r="M5" t="s">
        <v>79</v>
      </c>
      <c r="N5">
        <v>102</v>
      </c>
      <c r="O5" t="s">
        <v>80</v>
      </c>
    </row>
    <row r="6" spans="1:17" x14ac:dyDescent="0.25">
      <c r="A6">
        <v>13</v>
      </c>
      <c r="B6" t="s">
        <v>13</v>
      </c>
      <c r="C6" t="s">
        <v>81</v>
      </c>
      <c r="E6" t="s">
        <v>82</v>
      </c>
      <c r="N6">
        <v>301</v>
      </c>
      <c r="O6" t="s">
        <v>83</v>
      </c>
    </row>
    <row r="7" spans="1:17" x14ac:dyDescent="0.25">
      <c r="A7">
        <v>8</v>
      </c>
      <c r="B7" t="s">
        <v>20</v>
      </c>
      <c r="C7" t="s">
        <v>84</v>
      </c>
      <c r="D7" t="s">
        <v>85</v>
      </c>
      <c r="E7" t="s">
        <v>43</v>
      </c>
      <c r="G7" t="s">
        <v>44</v>
      </c>
      <c r="H7" t="s">
        <v>86</v>
      </c>
      <c r="I7" t="s">
        <v>34</v>
      </c>
      <c r="J7" t="s">
        <v>75</v>
      </c>
      <c r="K7" t="s">
        <v>78</v>
      </c>
      <c r="L7" t="s">
        <v>79</v>
      </c>
      <c r="M7" t="s">
        <v>79</v>
      </c>
      <c r="N7">
        <v>401</v>
      </c>
      <c r="O7" t="s">
        <v>87</v>
      </c>
    </row>
    <row r="8" spans="1:17" x14ac:dyDescent="0.25">
      <c r="A8">
        <v>2</v>
      </c>
      <c r="B8" t="s">
        <v>21</v>
      </c>
      <c r="C8" t="s">
        <v>88</v>
      </c>
      <c r="D8" t="s">
        <v>61</v>
      </c>
      <c r="E8" t="s">
        <v>40</v>
      </c>
      <c r="F8" t="s">
        <v>89</v>
      </c>
      <c r="G8" t="s">
        <v>41</v>
      </c>
      <c r="H8" t="s">
        <v>35</v>
      </c>
      <c r="I8" t="s">
        <v>34</v>
      </c>
      <c r="J8" t="s">
        <v>61</v>
      </c>
      <c r="K8" t="s">
        <v>62</v>
      </c>
      <c r="L8" t="s">
        <v>63</v>
      </c>
      <c r="M8" t="s">
        <v>64</v>
      </c>
      <c r="N8">
        <v>601</v>
      </c>
      <c r="O8" t="s">
        <v>90</v>
      </c>
    </row>
    <row r="9" spans="1:17" x14ac:dyDescent="0.25">
      <c r="A9">
        <v>10</v>
      </c>
      <c r="B9" t="s">
        <v>22</v>
      </c>
      <c r="C9" t="s">
        <v>91</v>
      </c>
      <c r="E9" t="s">
        <v>46</v>
      </c>
      <c r="N9">
        <v>1001</v>
      </c>
      <c r="O9" t="s">
        <v>92</v>
      </c>
    </row>
    <row r="10" spans="1:17" x14ac:dyDescent="0.25">
      <c r="A10">
        <v>6</v>
      </c>
      <c r="B10" t="s">
        <v>23</v>
      </c>
      <c r="C10" t="s">
        <v>93</v>
      </c>
      <c r="D10" t="s">
        <v>75</v>
      </c>
      <c r="E10" t="s">
        <v>42</v>
      </c>
      <c r="G10" t="s">
        <v>39</v>
      </c>
      <c r="H10" t="s">
        <v>36</v>
      </c>
      <c r="I10" t="s">
        <v>34</v>
      </c>
      <c r="J10" t="s">
        <v>94</v>
      </c>
      <c r="K10" t="s">
        <v>78</v>
      </c>
      <c r="L10" t="s">
        <v>79</v>
      </c>
      <c r="M10" t="s">
        <v>79</v>
      </c>
      <c r="N10">
        <v>501</v>
      </c>
      <c r="O10" t="s">
        <v>95</v>
      </c>
    </row>
    <row r="11" spans="1:17" x14ac:dyDescent="0.25">
      <c r="A11">
        <v>3</v>
      </c>
      <c r="B11" t="s">
        <v>24</v>
      </c>
      <c r="C11" t="s">
        <v>96</v>
      </c>
      <c r="D11" t="s">
        <v>97</v>
      </c>
      <c r="E11" t="s">
        <v>98</v>
      </c>
      <c r="G11" t="s">
        <v>41</v>
      </c>
      <c r="H11" t="s">
        <v>35</v>
      </c>
      <c r="I11" t="s">
        <v>34</v>
      </c>
      <c r="J11" t="s">
        <v>61</v>
      </c>
      <c r="K11" t="s">
        <v>99</v>
      </c>
      <c r="L11" t="s">
        <v>63</v>
      </c>
      <c r="M11" t="s">
        <v>64</v>
      </c>
      <c r="N11">
        <v>201</v>
      </c>
      <c r="O11" t="s">
        <v>100</v>
      </c>
    </row>
    <row r="12" spans="1:17" x14ac:dyDescent="0.25">
      <c r="A12">
        <v>12</v>
      </c>
      <c r="B12" t="s">
        <v>25</v>
      </c>
      <c r="C12" t="s">
        <v>25</v>
      </c>
      <c r="N12">
        <v>209</v>
      </c>
      <c r="O12" t="s">
        <v>101</v>
      </c>
    </row>
    <row r="13" spans="1:17" x14ac:dyDescent="0.25">
      <c r="A13">
        <v>11</v>
      </c>
      <c r="B13" t="s">
        <v>26</v>
      </c>
      <c r="C13" t="s">
        <v>96</v>
      </c>
      <c r="E13" t="s">
        <v>102</v>
      </c>
      <c r="N13">
        <v>202</v>
      </c>
      <c r="O13" t="s">
        <v>101</v>
      </c>
    </row>
    <row r="14" spans="1:17" x14ac:dyDescent="0.25">
      <c r="A14">
        <v>9</v>
      </c>
      <c r="B14" t="s">
        <v>27</v>
      </c>
      <c r="C14" t="s">
        <v>103</v>
      </c>
      <c r="D14" t="s">
        <v>104</v>
      </c>
      <c r="E14" t="s">
        <v>105</v>
      </c>
      <c r="F14" t="s">
        <v>106</v>
      </c>
      <c r="G14" t="s">
        <v>41</v>
      </c>
      <c r="H14" t="s">
        <v>35</v>
      </c>
      <c r="I14" t="s">
        <v>34</v>
      </c>
      <c r="J14" t="s">
        <v>107</v>
      </c>
      <c r="K14" t="s">
        <v>62</v>
      </c>
      <c r="L14" t="s">
        <v>63</v>
      </c>
      <c r="M14" t="s">
        <v>63</v>
      </c>
      <c r="N14">
        <v>801</v>
      </c>
      <c r="O14" t="s">
        <v>108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14</v>
      </c>
      <c r="B1" t="s">
        <v>15</v>
      </c>
      <c r="C1" t="s">
        <v>48</v>
      </c>
      <c r="D1" t="s">
        <v>49</v>
      </c>
      <c r="E1" t="s">
        <v>50</v>
      </c>
      <c r="F1" t="s">
        <v>51</v>
      </c>
      <c r="G1" t="s">
        <v>28</v>
      </c>
      <c r="H1" t="s">
        <v>29</v>
      </c>
      <c r="I1" t="s">
        <v>30</v>
      </c>
      <c r="J1" t="s">
        <v>52</v>
      </c>
      <c r="K1" t="s">
        <v>31</v>
      </c>
      <c r="L1" t="s">
        <v>53</v>
      </c>
      <c r="M1" t="s">
        <v>32</v>
      </c>
      <c r="N1" t="s">
        <v>54</v>
      </c>
      <c r="O1" t="s">
        <v>55</v>
      </c>
      <c r="P1" t="s">
        <v>56</v>
      </c>
      <c r="Q1" t="s">
        <v>57</v>
      </c>
    </row>
    <row r="2" spans="1:17" x14ac:dyDescent="0.25">
      <c r="A2">
        <v>4</v>
      </c>
      <c r="B2" t="s">
        <v>16</v>
      </c>
      <c r="C2" t="s">
        <v>58</v>
      </c>
      <c r="D2" t="s">
        <v>59</v>
      </c>
      <c r="E2" t="s">
        <v>60</v>
      </c>
      <c r="G2" t="s">
        <v>41</v>
      </c>
      <c r="H2" t="s">
        <v>35</v>
      </c>
      <c r="I2" t="s">
        <v>34</v>
      </c>
      <c r="J2" t="s">
        <v>61</v>
      </c>
      <c r="K2" t="s">
        <v>62</v>
      </c>
      <c r="L2" t="s">
        <v>63</v>
      </c>
      <c r="M2" t="s">
        <v>64</v>
      </c>
      <c r="N2">
        <v>701</v>
      </c>
      <c r="O2" t="s">
        <v>65</v>
      </c>
    </row>
    <row r="3" spans="1:17" x14ac:dyDescent="0.25">
      <c r="A3">
        <v>5</v>
      </c>
      <c r="B3" t="s">
        <v>17</v>
      </c>
      <c r="C3" t="s">
        <v>66</v>
      </c>
      <c r="D3" t="s">
        <v>59</v>
      </c>
      <c r="E3" t="s">
        <v>67</v>
      </c>
      <c r="F3" t="s">
        <v>68</v>
      </c>
      <c r="G3" t="s">
        <v>41</v>
      </c>
      <c r="H3" t="s">
        <v>35</v>
      </c>
      <c r="I3" t="s">
        <v>34</v>
      </c>
      <c r="J3" t="s">
        <v>61</v>
      </c>
      <c r="K3" t="s">
        <v>62</v>
      </c>
      <c r="L3" t="s">
        <v>63</v>
      </c>
      <c r="M3" t="s">
        <v>64</v>
      </c>
      <c r="N3">
        <v>901</v>
      </c>
      <c r="O3" t="s">
        <v>69</v>
      </c>
    </row>
    <row r="4" spans="1:17" x14ac:dyDescent="0.25">
      <c r="A4">
        <v>1</v>
      </c>
      <c r="B4" t="s">
        <v>18</v>
      </c>
      <c r="C4" t="s">
        <v>70</v>
      </c>
      <c r="D4" t="s">
        <v>71</v>
      </c>
      <c r="E4" t="s">
        <v>37</v>
      </c>
      <c r="F4" t="s">
        <v>38</v>
      </c>
      <c r="G4" t="s">
        <v>72</v>
      </c>
      <c r="H4" t="s">
        <v>33</v>
      </c>
      <c r="I4" t="s">
        <v>34</v>
      </c>
      <c r="J4" t="s">
        <v>61</v>
      </c>
      <c r="K4" t="s">
        <v>62</v>
      </c>
      <c r="L4" t="s">
        <v>63</v>
      </c>
      <c r="M4" t="s">
        <v>64</v>
      </c>
      <c r="N4">
        <v>101</v>
      </c>
      <c r="O4" t="s">
        <v>73</v>
      </c>
    </row>
    <row r="5" spans="1:17" x14ac:dyDescent="0.25">
      <c r="A5">
        <v>7</v>
      </c>
      <c r="B5" t="s">
        <v>19</v>
      </c>
      <c r="C5" t="s">
        <v>74</v>
      </c>
      <c r="D5" t="s">
        <v>75</v>
      </c>
      <c r="E5" t="s">
        <v>45</v>
      </c>
      <c r="F5" t="s">
        <v>76</v>
      </c>
      <c r="G5" t="s">
        <v>39</v>
      </c>
      <c r="H5" t="s">
        <v>36</v>
      </c>
      <c r="I5" t="s">
        <v>34</v>
      </c>
      <c r="J5" t="s">
        <v>77</v>
      </c>
      <c r="K5" t="s">
        <v>78</v>
      </c>
      <c r="L5" t="s">
        <v>79</v>
      </c>
      <c r="M5" t="s">
        <v>79</v>
      </c>
      <c r="N5">
        <v>102</v>
      </c>
      <c r="O5" t="s">
        <v>80</v>
      </c>
    </row>
    <row r="6" spans="1:17" x14ac:dyDescent="0.25">
      <c r="A6">
        <v>13</v>
      </c>
      <c r="B6" t="s">
        <v>13</v>
      </c>
      <c r="C6" t="s">
        <v>81</v>
      </c>
      <c r="E6" t="s">
        <v>82</v>
      </c>
      <c r="N6">
        <v>301</v>
      </c>
      <c r="O6" t="s">
        <v>83</v>
      </c>
    </row>
    <row r="7" spans="1:17" x14ac:dyDescent="0.25">
      <c r="A7">
        <v>8</v>
      </c>
      <c r="B7" t="s">
        <v>20</v>
      </c>
      <c r="C7" t="s">
        <v>84</v>
      </c>
      <c r="D7" t="s">
        <v>85</v>
      </c>
      <c r="E7" t="s">
        <v>43</v>
      </c>
      <c r="G7" t="s">
        <v>44</v>
      </c>
      <c r="H7" t="s">
        <v>86</v>
      </c>
      <c r="I7" t="s">
        <v>34</v>
      </c>
      <c r="J7" t="s">
        <v>75</v>
      </c>
      <c r="K7" t="s">
        <v>78</v>
      </c>
      <c r="L7" t="s">
        <v>79</v>
      </c>
      <c r="M7" t="s">
        <v>79</v>
      </c>
      <c r="N7">
        <v>401</v>
      </c>
      <c r="O7" t="s">
        <v>87</v>
      </c>
    </row>
    <row r="8" spans="1:17" x14ac:dyDescent="0.25">
      <c r="A8">
        <v>2</v>
      </c>
      <c r="B8" t="s">
        <v>21</v>
      </c>
      <c r="C8" t="s">
        <v>88</v>
      </c>
      <c r="D8" t="s">
        <v>61</v>
      </c>
      <c r="E8" t="s">
        <v>40</v>
      </c>
      <c r="F8" t="s">
        <v>89</v>
      </c>
      <c r="G8" t="s">
        <v>41</v>
      </c>
      <c r="H8" t="s">
        <v>35</v>
      </c>
      <c r="I8" t="s">
        <v>34</v>
      </c>
      <c r="J8" t="s">
        <v>61</v>
      </c>
      <c r="K8" t="s">
        <v>62</v>
      </c>
      <c r="L8" t="s">
        <v>63</v>
      </c>
      <c r="M8" t="s">
        <v>64</v>
      </c>
      <c r="N8">
        <v>601</v>
      </c>
      <c r="O8" t="s">
        <v>90</v>
      </c>
    </row>
    <row r="9" spans="1:17" x14ac:dyDescent="0.25">
      <c r="A9">
        <v>10</v>
      </c>
      <c r="B9" t="s">
        <v>22</v>
      </c>
      <c r="C9" t="s">
        <v>91</v>
      </c>
      <c r="E9" t="s">
        <v>46</v>
      </c>
      <c r="N9">
        <v>1001</v>
      </c>
      <c r="O9" t="s">
        <v>92</v>
      </c>
    </row>
    <row r="10" spans="1:17" x14ac:dyDescent="0.25">
      <c r="A10">
        <v>6</v>
      </c>
      <c r="B10" t="s">
        <v>23</v>
      </c>
      <c r="C10" t="s">
        <v>93</v>
      </c>
      <c r="D10" t="s">
        <v>75</v>
      </c>
      <c r="E10" t="s">
        <v>42</v>
      </c>
      <c r="G10" t="s">
        <v>39</v>
      </c>
      <c r="H10" t="s">
        <v>36</v>
      </c>
      <c r="I10" t="s">
        <v>34</v>
      </c>
      <c r="J10" t="s">
        <v>94</v>
      </c>
      <c r="K10" t="s">
        <v>78</v>
      </c>
      <c r="L10" t="s">
        <v>79</v>
      </c>
      <c r="M10" t="s">
        <v>79</v>
      </c>
      <c r="N10">
        <v>501</v>
      </c>
      <c r="O10" t="s">
        <v>95</v>
      </c>
    </row>
    <row r="11" spans="1:17" x14ac:dyDescent="0.25">
      <c r="A11">
        <v>3</v>
      </c>
      <c r="B11" t="s">
        <v>24</v>
      </c>
      <c r="C11" t="s">
        <v>96</v>
      </c>
      <c r="D11" t="s">
        <v>97</v>
      </c>
      <c r="E11" t="s">
        <v>98</v>
      </c>
      <c r="G11" t="s">
        <v>41</v>
      </c>
      <c r="H11" t="s">
        <v>35</v>
      </c>
      <c r="I11" t="s">
        <v>34</v>
      </c>
      <c r="J11" t="s">
        <v>61</v>
      </c>
      <c r="K11" t="s">
        <v>99</v>
      </c>
      <c r="L11" t="s">
        <v>63</v>
      </c>
      <c r="M11" t="s">
        <v>64</v>
      </c>
      <c r="N11">
        <v>201</v>
      </c>
      <c r="O11" t="s">
        <v>100</v>
      </c>
    </row>
    <row r="12" spans="1:17" x14ac:dyDescent="0.25">
      <c r="A12">
        <v>12</v>
      </c>
      <c r="B12" t="s">
        <v>25</v>
      </c>
      <c r="C12" t="s">
        <v>25</v>
      </c>
      <c r="N12">
        <v>209</v>
      </c>
      <c r="O12" t="s">
        <v>101</v>
      </c>
    </row>
    <row r="13" spans="1:17" x14ac:dyDescent="0.25">
      <c r="A13">
        <v>11</v>
      </c>
      <c r="B13" t="s">
        <v>26</v>
      </c>
      <c r="C13" t="s">
        <v>96</v>
      </c>
      <c r="E13" t="s">
        <v>102</v>
      </c>
      <c r="N13">
        <v>202</v>
      </c>
      <c r="O13" t="s">
        <v>101</v>
      </c>
    </row>
    <row r="14" spans="1:17" x14ac:dyDescent="0.25">
      <c r="A14">
        <v>9</v>
      </c>
      <c r="B14" t="s">
        <v>27</v>
      </c>
      <c r="C14" t="s">
        <v>103</v>
      </c>
      <c r="D14" t="s">
        <v>104</v>
      </c>
      <c r="E14" t="s">
        <v>105</v>
      </c>
      <c r="F14" t="s">
        <v>106</v>
      </c>
      <c r="G14" t="s">
        <v>41</v>
      </c>
      <c r="H14" t="s">
        <v>35</v>
      </c>
      <c r="I14" t="s">
        <v>34</v>
      </c>
      <c r="J14" t="s">
        <v>107</v>
      </c>
      <c r="K14" t="s">
        <v>62</v>
      </c>
      <c r="L14" t="s">
        <v>63</v>
      </c>
      <c r="M14" t="s">
        <v>63</v>
      </c>
      <c r="N14">
        <v>801</v>
      </c>
      <c r="O14" t="s">
        <v>108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PEDIDO</vt:lpstr>
      <vt:lpstr>fornecedores</vt:lpstr>
      <vt:lpstr>condicoes</vt:lpstr>
      <vt:lpstr>empresas</vt:lpstr>
      <vt:lpstr>empresas___</vt:lpstr>
      <vt:lpstr>PEDIDO!Area_de_impressao</vt:lpstr>
      <vt:lpstr>condicoes</vt:lpstr>
      <vt:lpstr>empresas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1443</cp:lastModifiedBy>
  <cp:lastPrinted>2023-07-29T19:23:34Z</cp:lastPrinted>
  <dcterms:created xsi:type="dcterms:W3CDTF">2023-01-21T17:48:55Z</dcterms:created>
  <dcterms:modified xsi:type="dcterms:W3CDTF">2024-12-10T18:00:30Z</dcterms:modified>
</cp:coreProperties>
</file>
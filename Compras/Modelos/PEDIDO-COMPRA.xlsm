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029" codeName="{DD97A8EA-9A9A-E61F-A557-7D5A7D7259CE}"/>
  <x: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IPOLATTI\SISTEMAS\Compras\Compras\Modelos\"/>
    </mc:Choice>
  </mc:AlternateContent>
  <xr:revisionPtr revIDLastSave="0" documentId="13_ncr:1_{FDEE4C50-6284-4708-A32F-AE04BFC57630}" xr6:coauthVersionLast="47" xr6:coauthVersionMax="47" xr10:uidLastSave="{00000000-0000-0000-0000-000000000000}"/>
  <x:bookViews>
    <x:workbookView xWindow="38280" yWindow="-120" windowWidth="38640" windowHeight="15720" firstSheet="0" activeTab="0" xr2:uid="{5C723B8A-61D7-4908-AEF1-636B3DAF889A}"/>
  </x:bookViews>
  <x:sheets>
    <x:sheet name="PEDIDO" sheetId="2" r:id="rId1"/>
    <x:sheet name="fornecedores" sheetId="11" r:id="rId2"/>
    <x:sheet name="condicoes" sheetId="12" r:id="rId3"/>
    <x:sheet name="empresas" sheetId="13" r:id="rId4"/>
    <x:sheet name="empresas___" sheetId="9" state="hidden" r:id="rId5"/>
    <x:sheet name="_SIG_LISTAS" sheetId="14" state="veryHidden" r:id="rId13"/>
  </x:sheets>
  <x:definedNames>
    <x:definedName name="_xlnm.Print_Area" localSheetId="0">PEDIDO!$A$1:$I$52</x:definedName>
    <x:definedName name="condicoes">condicoes!$2:$1048576</x:definedName>
    <x:definedName name="empresas">empresas!$2:$1048576</x:definedName>
    <x:definedName name="fornecedores">fornecedores!$2:$1048576</x:definedName>
    <x:definedName name="SIG_empresas">_SIG_LISTAS!$A$1:$A$13</x:definedName>
    <x:definedName name="SIG_fornecedores">_SIG_LISTAS!$B$1:$B$1</x:definedName>
    <x:definedName name="SIG_condicoes">_SIG_LISTAS!$C$1:$C$1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G12" i="2"/>
  <x:c r="H12" i="2"/>
  <x:c r="G13" i="2"/>
  <x:c r="H13" i="2"/>
  <x:c r="G14" i="2"/>
  <x:c r="H14" i="2"/>
  <x:c r="G15" i="2"/>
  <x:c r="H15" i="2"/>
  <x:c r="G16" i="2"/>
  <x:c r="H16" i="2"/>
  <x:c r="G17" i="2"/>
  <x:c r="H17" i="2"/>
  <x:c r="G18" i="2"/>
  <x:c r="H18" i="2"/>
  <x:c r="G19" i="2"/>
  <x:c r="H19" i="2"/>
  <x:c r="G20" i="2"/>
  <x:c r="H20" i="2"/>
  <x:c r="G21" i="2"/>
  <x:c r="H21" i="2"/>
  <x:c r="G22" i="2"/>
  <x:c r="H22" i="2"/>
  <x:c r="G23" i="2"/>
  <x:c r="H23" i="2"/>
  <x:c r="G24" i="2"/>
  <x:c r="H24" i="2"/>
  <x:c r="G25" i="2"/>
  <x:c r="H25" i="2"/>
  <x:c r="G26" i="2"/>
  <x:c r="H26" i="2"/>
  <x:c r="G27" i="2"/>
  <x:c r="H27" i="2"/>
  <x:c r="G28" i="2"/>
  <x:c r="H28" i="2"/>
  <x:c r="G29" i="2"/>
  <x:c r="H29" i="2"/>
  <x:c r="G30" i="2"/>
  <x:c r="H30" i="2"/>
  <x:c r="G31" i="2"/>
  <x:c r="H31" i="2"/>
  <x:c r="G32" i="2"/>
  <x:c r="H32" i="2"/>
  <x:c r="G33" i="2"/>
  <x:c r="H33" i="2"/>
  <x:c r="G34" i="2"/>
  <x:c r="H34" i="2"/>
  <x:c r="G35" i="2"/>
  <x:c r="H35" i="2"/>
  <x:c r="G36" i="2"/>
  <x:c r="H36" i="2"/>
  <x:c r="G37" i="2"/>
  <x:c r="H37" i="2"/>
  <x:c r="G38" i="2"/>
  <x:c r="H38" i="2"/>
  <x:c r="G39" i="2"/>
  <x:c r="H39" i="2"/>
  <x:c r="G40" i="2"/>
  <x:c r="H40" i="2"/>
  <x:c r="G41" i="2"/>
  <x:c r="H41" i="2"/>
  <x:c r="G42" i="2"/>
  <x:c r="H42" i="2"/>
  <x:c r="G43" i="2"/>
  <x:c r="H43" i="2"/>
  <x:c r="G44" i="2"/>
  <x:c r="H44" i="2"/>
  <x:c r="G45" i="2"/>
  <x:c r="H45" i="2"/>
  <x:c r="G46" i="2"/>
  <x:c r="H46" i="2"/>
  <x:c r="G47" i="2"/>
  <x:c r="H47" i="2"/>
  <x:c r="G48" i="2"/>
  <x:c r="H48" i="2"/>
  <x:c r="G49" i="2"/>
  <x:c r="H49" i="2"/>
  <x:c r="G50" i="2"/>
  <x:c r="H50" i="2"/>
  <x:c r="G51" i="2"/>
  <x:c r="H51" i="2"/>
  <x:c r="G52" i="2"/>
</x: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<x:sst xmlns:x="http://schemas.openxmlformats.org/spreadsheetml/2006/main">
  <x:si>
    <x:t>PEDIDO DE COMPRA</x:t>
  </x:si>
  <x:si>
    <x:t>Nº PEDIDO</x:t>
  </x:si>
  <x:si>
    <x:t>DATA:</x:t>
  </x:si>
  <x:si>
    <x:t>EMPRESA:</x:t>
  </x:si>
  <x:si>
    <x:t>7 - LOCAÇÃO FILIAL</x:t>
  </x:si>
  <x:si>
    <x:t>FORNECEDOR:</x:t>
  </x:si>
  <x:si>
    <x:t/>
  </x:si>
  <x:si>
    <x:t>CONDIÇÃO DE PAGAMENTO:</x:t>
  </x:si>
  <x:si>
    <x:t>DATA ENTREGA:</x:t>
  </x:si>
  <x:si>
    <x:t>DATA NOTA:</x:t>
  </x:si>
  <x:si>
    <x:t>Nº NOTA:</x:t>
  </x:si>
  <x:si>
    <x:t>COD.</x:t>
  </x:si>
  <x:si>
    <x:t>DESCRIÇÃO DO PRODUTO</x:t>
  </x:si>
  <x:si>
    <x:t>VALOR</x:t>
  </x:si>
  <x:si>
    <x:t>QTDE.</x:t>
  </x:si>
  <x:si>
    <x:t>VALOR TOTAL</x:t>
  </x:si>
  <x:si>
    <x:t>STATUS</x:t>
  </x:si>
  <x:si>
    <x:t>OBSERVAÇÃO</x:t>
  </x:si>
  <x:si>
    <x:t>VALOR TOTAL DA COMPRA</x:t>
  </x:si>
  <x:si>
    <x:t>codigo</x:t>
  </x:si>
  <x:si>
    <x:t>abreviacao</x:t>
  </x:si>
  <x:si>
    <x:t>nome</x:t>
  </x:si>
  <x:si>
    <x:t>endereco</x:t>
  </x:si>
  <x:si>
    <x:t>cnpj</x:t>
  </x:si>
  <x:si>
    <x:t>inscricao</x:t>
  </x:si>
  <x:si>
    <x:t>bairro</x:t>
  </x:si>
  <x:si>
    <x:t>cidade</x:t>
  </x:si>
  <x:si>
    <x:t>estado</x:t>
  </x:si>
  <x:si>
    <x:t>localentrega</x:t>
  </x:si>
  <x:si>
    <x:t>cep</x:t>
  </x:si>
  <x:si>
    <x:t>telefone</x:t>
  </x:si>
  <x:si>
    <x:t>fax</x:t>
  </x:si>
  <x:si>
    <x:t>totvs</x:t>
  </x:si>
  <x:si>
    <x:t>conta</x:t>
  </x:si>
  <x:si>
    <x:t>conta_cartao</x:t>
  </x:si>
  <x:si>
    <x:t>conta_caixa</x:t>
  </x:si>
  <x:si>
    <x:t>ARTES</x:t>
  </x:si>
  <x:si>
    <x:t>CIPOLATTI ARTES - INSTALAÇÃO E MONTAGEM DE BENS MÓVEIS LTDA - EPP</x:t>
  </x:si>
  <x:si>
    <x:t>RUA AUREA TAVARES, 440</x:t>
  </x:si>
  <x:si>
    <x:t>03841412000142</x:t>
  </x:si>
  <x:si>
    <x:t>JD. DAS OLIVEIRAS</x:t>
  </x:si>
  <x:si>
    <x:t>TABOÃO DA SERRA</x:t>
  </x:si>
  <x:si>
    <x:t>SP</x:t>
  </x:si>
  <x:si>
    <x:t>RUA AUREA TAVARES, 450</x:t>
  </x:si>
  <x:si>
    <x:t>06765-440</x:t>
  </x:si>
  <x:si>
    <x:t>(11) 4788-4166</x:t>
  </x:si>
  <x:si>
    <x:t>(11) 4787-1236</x:t>
  </x:si>
  <x:si>
    <x:t>701 ARTES SANT</x:t>
  </x:si>
  <x:si>
    <x:t>C&amp;C</x:t>
  </x:si>
  <x:si>
    <x:t>C&amp;C INSTALAÇÃO E MONTAGEM DE BENS MÓVEIS LTDA. - EPP</x:t>
  </x:si>
  <x:si>
    <x:t>04546055000152</x:t>
  </x:si>
  <x:si>
    <x:t>675.182.849.113</x:t>
  </x:si>
  <x:si>
    <x:t>901 C&amp;C SANT</x:t>
  </x:si>
  <x:si>
    <x:t>LOCAÇÃO</x:t>
  </x:si>
  <x:si>
    <x:t>CIPOLATTI &amp; CIPOLATTI  LOCAÇÃO E COMERCIO LTDA - MATRIZ</x:t>
  </x:si>
  <x:si>
    <x:t>Rua Luiz Migliano 1110, conjunto 104</x:t>
  </x:si>
  <x:si>
    <x:t>66013079000101</x:t>
  </x:si>
  <x:si>
    <x:t>675.054.479.118</x:t>
  </x:si>
  <x:si>
    <x:t>JD GUEDALA</x:t>
  </x:si>
  <x:si>
    <x:t>SÃO PAULO</x:t>
  </x:si>
  <x:si>
    <x:t>101 LOC M SANT</x:t>
  </x:si>
  <x:si>
    <x:t>LOCAÇÃO FILIAL</x:t>
  </x:si>
  <x:si>
    <x:t>CIPOLATTI &amp; CIPOLATTI LOCAÇÃO E COMÉRCIO LTDA -FILIAL</x:t>
  </x:si>
  <x:si>
    <x:t>ROD. PRESIDENTE DUTRA, S/N - KM 333</x:t>
  </x:si>
  <x:si>
    <x:t>66013079000446</x:t>
  </x:si>
  <x:si>
    <x:t>392.223.477.117</x:t>
  </x:si>
  <x:si>
    <x:t>RIO ABAIXO</x:t>
  </x:si>
  <x:si>
    <x:t>JACAREÍ</x:t>
  </x:si>
  <x:si>
    <x:t>ROD. PRESIDENTE DUTRA, S/N - KM 333 - GALPÃO I</x:t>
  </x:si>
  <x:si>
    <x:t>12321-520</x:t>
  </x:si>
  <x:si>
    <x:t>(12) 2127-0700</x:t>
  </x:si>
  <x:si>
    <x:t>102 LOC F SANT</x:t>
  </x:si>
  <x:si>
    <x:t>NOEL</x:t>
  </x:si>
  <x:si>
    <x:t>CIPOLATTI E CIPOLATTI IMPORTAÇÃO E EXPORTAÇÃO LTDA</x:t>
  </x:si>
  <x:si>
    <x:t>00001564000149</x:t>
  </x:si>
  <x:si>
    <x:t>301 NOEL SANT</x:t>
  </x:si>
  <x:si>
    <x:t>NOVO VALE</x:t>
  </x:si>
  <x:si>
    <x:t>NOVO VALE EMPRENDIMENTOS LTDA</x:t>
  </x:si>
  <x:si>
    <x:t>AV. Brigadeiro Faria Lima, 1912 - 21 andar Conj. M Sala A</x:t>
  </x:si>
  <x:si>
    <x:t>06942182000104</x:t>
  </x:si>
  <x:si>
    <x:t>JARDIM PAULISTANO</x:t>
  </x:si>
  <x:si>
    <x:t>SÂO PAULO</x:t>
  </x:si>
  <x:si>
    <x:t>401 NV SANT</x:t>
  </x:si>
  <x:si>
    <x:t>PLDC</x:t>
  </x:si>
  <x:si>
    <x:t>PLDC INDUSTRIAL E SERVIÇOS DE DECORAÇÃO LTDA - EPP</x:t>
  </x:si>
  <x:si>
    <x:t>07485082000150</x:t>
  </x:si>
  <x:si>
    <x:t>675.182.964.110</x:t>
  </x:si>
  <x:si>
    <x:t>601 PLDC SANT</x:t>
  </x:si>
  <x:si>
    <x:t>S&amp;N</x:t>
  </x:si>
  <x:si>
    <x:t>S&amp;N INSTALAÇÃO E MONTAGEM DE BENS MÓVEIS LTDA-EPP</x:t>
  </x:si>
  <x:si>
    <x:t>25254872000107</x:t>
  </x:si>
  <x:si>
    <x:t>1001 SN SANT</x:t>
  </x:si>
  <x:si>
    <x:t>SERVIÇOS</x:t>
  </x:si>
  <x:si>
    <x:t>CIPOLATTI SERVIÇOS E MONTAGEM DE BENS MÓVEIS LTDA</x:t>
  </x:si>
  <x:si>
    <x:t>05912306000138</x:t>
  </x:si>
  <x:si>
    <x:t>ROD. PRESIDENTE DUTRA, S/N - KM 333 - GALPÃO II</x:t>
  </x:si>
  <x:si>
    <x:t>501 SERV SANT</x:t>
  </x:si>
  <x:si>
    <x:t>STUDIO</x:t>
  </x:si>
  <x:si>
    <x:t>STUDIO CIPOLATTI - PROJETOS E EVENTOS LTDA</x:t>
  </x:si>
  <x:si>
    <x:t>RUA AUREA TAVARES, 450 SL01</x:t>
  </x:si>
  <x:si>
    <x:t>56226137000113</x:t>
  </x:si>
  <x:si>
    <x:t>06765-450</x:t>
  </x:si>
  <x:si>
    <x:t>201 STUDIO SANT</x:t>
  </x:si>
  <x:si>
    <x:t>STUDIO SCP</x:t>
  </x:si>
  <x:si>
    <x:t>202 STUDIO SCP SANT</x:t>
  </x:si>
  <x:si>
    <x:t>STUDIO SCP SP</x:t>
  </x:si>
  <x:si>
    <x:t>56226137000202</x:t>
  </x:si>
  <x:si>
    <x:t>T&amp;T</x:t>
  </x:si>
  <x:si>
    <x:t>T&amp;T  INSTALAÇÃO E MONTAGEM DE BENS MÓVEIS LTDA EPP</x:t>
  </x:si>
  <x:si>
    <x:t>RUA AUREA TAVARES ,440</x:t>
  </x:si>
  <x:si>
    <x:t>02739879000113</x:t>
  </x:si>
  <x:si>
    <x:t>18.025MUNICIPAL</x:t>
  </x:si>
  <x:si>
    <x:t>RUA AUREA TAVARES,  450</x:t>
  </x:si>
  <x:si>
    <x:t>801 T&amp;T SANT</x:t>
  </x:si>
  <x:si>
    <x:t>9 - T&amp;T</x:t>
  </x:si>
  <x:si>
    <x:t>11 - STUDIO SCP SP</x:t>
  </x:si>
  <x:si>
    <x:t>12 - STUDIO SCP</x:t>
  </x:si>
  <x:si>
    <x:t>3 - STUDIO</x:t>
  </x:si>
  <x:si>
    <x:t>6 - SERVIÇOS</x:t>
  </x:si>
  <x:si>
    <x:t>10 - S&amp;N</x:t>
  </x:si>
  <x:si>
    <x:t>2 - PLDC</x:t>
  </x:si>
  <x:si>
    <x:t>8 - NOVO VALE</x:t>
  </x:si>
  <x:si>
    <x:t>13 - NOEL</x:t>
  </x:si>
  <x:si>
    <x:t>1 - LOCAÇÃO</x:t>
  </x:si>
  <x:si>
    <x:t>5 - C&amp;C</x:t>
  </x:si>
  <x:si>
    <x:t>4 - ARTES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</x:si>
</x:sst>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4">
    <x:numFmt numFmtId="44" formatCode="_-&quot;R$&quot;\ * #,##0.00_-;\-&quot;R$&quot;\ * #,##0.00_-;_-&quot;R$&quot;\ * &quot;-&quot;??_-;_-@_-"/>
    <x:numFmt numFmtId="43" formatCode="_-* #,##0.00_-;\-* #,##0.00_-;_-* &quot;-&quot;??_-;_-@_-"/>
    <x:numFmt numFmtId="164" formatCode="_-[$R$-416]\ * #,##0.00_-;\-[$R$-416]\ * #,##0.00_-;_-[$R$-416]\ * &quot;-&quot;??_-;_-@_-"/>
    <x:numFmt numFmtId="165" formatCode="General"/>
  </x:numFmts>
  <x:fonts count="10" x14ac:knownFonts="1"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b/>
      <x:sz val="30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9"/>
      <x:color theme="1"/>
      <x:name val="Calibri"/>
      <x:family val="2"/>
      <x:scheme val="minor"/>
    </x:font>
    <x:font>
      <x:sz val="11"/>
      <x:color rgb="FF000000"/>
      <x:name val="Calibri"/>
      <x:family val="2"/>
    </x:font>
    <x:font>
      <x:b/>
      <x:sz val="8"/>
      <x:color theme="1"/>
      <x:name val="Calibri"/>
      <x:family val="2"/>
      <x:scheme val="minor"/>
    </x:font>
    <x:font>
      <x:sz val="8"/>
      <x:color theme="1"/>
      <x:name val="Calibri"/>
      <x:family val="2"/>
      <x:scheme val="minor"/>
    </x:font>
    <x:font>
      <x:vertAlign val="baseline"/>
      <x:sz val="11"/>
      <x:color rgb="FF000000"/>
      <x:name val="Calibri"/>
      <x:family val="2"/>
      <x:scheme val="minor"/>
    </x:font>
  </x:fonts>
  <x:fills count="3">
    <x:fill>
      <x:patternFill patternType="none"/>
    </x:fill>
    <x:fill>
      <x:patternFill patternType="gray125"/>
    </x:fill>
    <x:fill>
      <x:patternFill patternType="solid">
        <x:fgColor theme="0" tint="-0.14999847407452621"/>
        <x:bgColor indexed="64"/>
      </x:patternFill>
    </x:fill>
  </x:fills>
  <x:borders count="9">
    <x:border>
      <x:left/>
      <x:right/>
      <x:top/>
      <x:bottom/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/>
      <x:bottom/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/>
      <x:diagonal/>
    </x:border>
    <x:border>
      <x:left style="thin">
        <x:color auto="1"/>
      </x:left>
      <x:right style="thin">
        <x:color auto="1"/>
      </x:right>
      <x:top/>
      <x:bottom style="thin">
        <x:color auto="1"/>
      </x:bottom>
      <x:diagonal/>
    </x:border>
    <x:border>
      <x:left style="thin">
        <x:color auto="1"/>
      </x:left>
      <x:right/>
      <x:top/>
      <x:bottom style="thin">
        <x:color auto="1"/>
      </x:bottom>
      <x:diagonal/>
    </x:border>
  </x:borders>
  <x:cellStyleXfs count="33">
    <x:xf numFmtId="0" fontId="0" fillId="0" borderId="0"/>
    <x:xf numFmtId="43" fontId="1" fillId="0" borderId="0" applyFont="0" applyFill="0" applyBorder="0" applyAlignment="0" applyProtection="0"/>
    <x:xf numFmtId="44" fontId="1" fillId="0" borderId="0" applyFont="0" applyFill="0" applyBorder="0" applyAlignment="0" applyProtection="0"/>
    <x:xf numFmtId="0" fontId="3" fillId="2" borderId="0" applyNumberFormat="1" applyFill="0" applyBorder="0" applyAlignment="1" applyProtection="1">
      <x:protection locked="1" hidden="0"/>
    </x:xf>
    <x:xf numFmtId="0" fontId="2" fillId="0" borderId="1" applyNumberFormat="1" applyFill="1" applyBorder="1" applyAlignment="1" applyProtection="1">
      <x:protection locked="1" hidden="0"/>
    </x:xf>
    <x:xf numFmtId="0" fontId="0" fillId="0" borderId="1" applyNumberFormat="1" applyFill="1" applyBorder="1" applyAlignment="1" applyProtection="1">
      <x:protection locked="1" hidden="0"/>
    </x:xf>
    <x:xf numFmtId="14" fontId="0" fillId="0" borderId="1" applyNumberFormat="1" applyFill="1" applyBorder="1" applyAlignment="1" applyProtection="1">
      <x:protection locked="1" hidden="0"/>
    </x:xf>
    <x:xf numFmtId="0" fontId="2" fillId="0" borderId="2" applyNumberFormat="1" applyFill="1" applyBorder="1" applyAlignment="1" applyProtection="1">
      <x:protection locked="1" hidden="0"/>
    </x:xf>
    <x:xf numFmtId="0" fontId="2" fillId="0" borderId="4" applyNumberFormat="1" applyFill="1" applyBorder="1" applyAlignment="1" applyProtection="1">
      <x:protection locked="1" hidden="0"/>
    </x:xf>
    <x:xf numFmtId="165" fontId="9" fillId="0" borderId="1" applyNumberFormat="1" applyFill="1" applyBorder="1" applyAlignment="1" applyProtection="1">
      <x:protection locked="0" hidden="0"/>
    </x:xf>
    <x:xf numFmtId="0" fontId="2" fillId="0" borderId="3" applyNumberFormat="1" applyFill="1" applyBorder="1" applyAlignment="1" applyProtection="1">
      <x:protection locked="1" hidden="0"/>
    </x:xf>
    <x:xf numFmtId="165" fontId="9" fillId="0" borderId="2" applyNumberFormat="1" applyFill="1" applyBorder="1" applyAlignment="1" applyProtection="1">
      <x:protection locked="0" hidden="0"/>
    </x:xf>
    <x:xf numFmtId="165" fontId="9" fillId="0" borderId="3" applyNumberFormat="1" applyFill="1" applyBorder="1" applyAlignment="1" applyProtection="1">
      <x:protection locked="0" hidden="0"/>
    </x:xf>
    <x:xf numFmtId="165" fontId="9" fillId="0" borderId="4" applyNumberFormat="1" applyFill="1" applyBorder="1" applyAlignment="1" applyProtection="1">
      <x:protection locked="0" hidden="0"/>
    </x:xf>
    <x:xf numFmtId="0" fontId="2" fillId="0" borderId="8" applyNumberFormat="1" applyFill="1" applyBorder="1" applyAlignment="1" applyProtection="1">
      <x:protection locked="0" hidden="0"/>
    </x:xf>
    <x:xf numFmtId="0" fontId="2" fillId="0" borderId="7" applyNumberFormat="1" applyFill="1" applyBorder="1" applyAlignment="1" applyProtection="1">
      <x:protection locked="1" hidden="0"/>
    </x:xf>
    <x:xf numFmtId="0" fontId="2" fillId="0" borderId="7" applyNumberFormat="1" applyFill="1" applyBorder="1" applyAlignment="1" applyProtection="1">
      <x:protection locked="0" hidden="0"/>
    </x:xf>
    <x:xf numFmtId="0" fontId="2" fillId="0" borderId="6" applyNumberFormat="1" applyFill="1" applyBorder="1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44" fontId="4" fillId="0" borderId="1" applyNumberFormat="1" applyFill="1" applyBorder="1" applyAlignment="1" applyProtection="1">
      <x:protection locked="0" hidden="0"/>
    </x:xf>
    <x:xf numFmtId="43" fontId="4" fillId="0" borderId="1" applyNumberFormat="1" applyFill="1" applyBorder="1" applyAlignment="1" applyProtection="1">
      <x:protection locked="0" hidden="0"/>
    </x:xf>
    <x:xf numFmtId="164" fontId="4" fillId="0" borderId="1" applyNumberFormat="1" applyFill="1" applyBorder="1" applyAlignment="1" applyProtection="1">
      <x:protection locked="1" hidden="0"/>
    </x:xf>
    <x:xf numFmtId="0" fontId="5" fillId="0" borderId="1" applyNumberFormat="1" applyFill="1" applyBorder="1" applyAlignment="1" applyProtection="1">
      <x:protection locked="0" hidden="0"/>
    </x:xf>
    <x:xf numFmtId="0" fontId="7" fillId="0" borderId="6" applyNumberFormat="1" applyFill="1" applyBorder="1" applyAlignment="1" applyProtection="1">
      <x:protection locked="0" hidden="0"/>
    </x:xf>
    <x:xf numFmtId="0" fontId="8" fillId="0" borderId="1" applyNumberFormat="1" applyFill="1" applyBorder="1" applyAlignment="1" applyProtection="1">
      <x:protection locked="0" hidden="0"/>
    </x:xf>
    <x:xf numFmtId="0" fontId="0" fillId="0" borderId="5" applyNumberFormat="1" applyFill="1" applyBorder="1" applyAlignment="1" applyProtection="1">
      <x:protection locked="1" hidden="0"/>
    </x:xf>
    <x:xf numFmtId="0" fontId="0" fillId="0" borderId="2" applyNumberFormat="1" applyFill="1" applyBorder="1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0" fontId="0" fillId="0" borderId="4" applyNumberFormat="1" applyFill="1" applyBorder="1" applyAlignment="1" applyProtection="1">
      <x:protection locked="1" hidden="0"/>
    </x:xf>
    <x:xf numFmtId="44" fontId="0" fillId="0" borderId="1" applyNumberFormat="1" applyFill="1" applyBorder="1" applyAlignment="1" applyProtection="1">
      <x:protection locked="1" hidden="0"/>
    </x:xf>
  </x:cellStyleXfs>
  <x:cellXfs count="41">
    <x:xf numFmtId="0" fontId="0" fillId="0" borderId="0" xfId="0"/>
    <x:xf numFmtId="0" fontId="2" fillId="0" borderId="1" xfId="0" applyFont="1" applyBorder="1" applyAlignment="1">
      <x:alignment horizontal="center"/>
    </x:xf>
    <x:xf numFmtId="0" fontId="2" fillId="0" borderId="1" xfId="0" applyFont="1" applyBorder="1" applyAlignment="1">
      <x:alignment horizontal="right" vertical="center"/>
    </x:xf>
    <x:xf numFmtId="14" fontId="0" fillId="0" borderId="1" xfId="0" applyNumberFormat="1" applyBorder="1" applyAlignment="1">
      <x:alignment horizontal="center" vertical="center"/>
    </x:xf>
    <x:xf numFmtId="0" fontId="0" fillId="0" borderId="1" xfId="0" applyBorder="1" applyAlignment="1">
      <x:alignment horizontal="center" vertical="center"/>
    </x:xf>
    <x:xf numFmtId="44" fontId="0" fillId="0" borderId="1" xfId="2" applyFont="1" applyBorder="1" applyAlignment="1">
      <x:alignment horizontal="center" vertical="center"/>
    </x:xf>
    <x:xf numFmtId="0" fontId="2" fillId="0" borderId="6" xfId="0" applyFont="1" applyBorder="1" applyAlignment="1">
      <x:alignment horizontal="center"/>
    </x:xf>
    <x:xf numFmtId="0" fontId="0" fillId="0" borderId="0" xfId="0" applyAlignment="1">
      <x:alignment wrapText="1"/>
    </x:xf>
    <x:xf numFmtId="0" fontId="0" fillId="0" borderId="5" xfId="0" applyBorder="1" applyAlignment="1">
      <x:alignment wrapText="1"/>
    </x:xf>
    <x:xf numFmtId="0" fontId="4" fillId="0" borderId="1" xfId="0" applyFont="1" applyBorder="1" applyAlignment="1">
      <x:alignment horizontal="center" vertical="center" wrapText="1"/>
    </x:xf>
    <x:xf numFmtId="164" fontId="4" fillId="0" borderId="1" xfId="0" applyNumberFormat="1" applyFont="1" applyBorder="1" applyAlignment="1">
      <x:alignment horizontal="center" vertical="center" wrapText="1"/>
    </x:xf>
    <x:xf numFmtId="44" fontId="4" fillId="0" borderId="1" xfId="2" applyFont="1" applyBorder="1" applyAlignment="1" applyProtection="1">
      <x:alignment horizontal="center" vertical="center" wrapText="1"/>
      <x:protection locked="0"/>
    </x:xf>
    <x:xf numFmtId="43" fontId="4" fillId="0" borderId="1" xfId="1" applyFont="1" applyBorder="1" applyAlignment="1" applyProtection="1">
      <x:alignment horizontal="center" vertical="center" wrapText="1"/>
      <x:protection locked="0"/>
    </x:xf>
    <x:xf numFmtId="0" fontId="5" fillId="0" borderId="1" xfId="0" applyFont="1" applyBorder="1" applyAlignment="1" applyProtection="1">
      <x:alignment horizontal="center" vertical="center" wrapText="1"/>
      <x:protection locked="0"/>
    </x:xf>
    <x:xf numFmtId="0" fontId="2" fillId="0" borderId="8" xfId="0" applyFont="1" applyBorder="1" applyAlignment="1" applyProtection="1">
      <x:alignment horizontal="center" vertical="center"/>
      <x:protection locked="0"/>
    </x:xf>
    <x:xf numFmtId="0" fontId="2" fillId="0" borderId="7" xfId="0" applyFont="1" applyBorder="1"/>
    <x:xf numFmtId="0" fontId="2" fillId="0" borderId="7" xfId="0" applyFont="1" applyBorder="1" applyProtection="1">
      <x:protection locked="0"/>
    </x:xf>
    <x:xf numFmtId="0" fontId="7" fillId="0" borderId="6" xfId="0" applyFont="1" applyBorder="1" applyAlignment="1" applyProtection="1">
      <x:alignment horizontal="center" vertical="center" wrapText="1"/>
      <x:protection locked="0"/>
    </x:xf>
    <x:xf numFmtId="0" fontId="8" fillId="0" borderId="1" xfId="0" applyFont="1" applyBorder="1" applyAlignment="1" applyProtection="1">
      <x:alignment vertical="center" wrapText="1"/>
      <x:protection locked="0"/>
    </x:xf>
    <x:xf numFmtId="0" fontId="4" fillId="0" borderId="2" xfId="0" applyFont="1" applyBorder="1" applyAlignment="1">
      <x:alignment horizontal="center" vertical="center" wrapText="1"/>
    </x:xf>
    <x:xf numFmtId="0" fontId="4" fillId="0" borderId="3" xfId="0" applyFont="1" applyBorder="1" applyAlignment="1">
      <x:alignment horizontal="center" vertical="center" wrapText="1"/>
    </x:xf>
    <x:xf numFmtId="0" fontId="4" fillId="0" borderId="4" xfId="0" applyFont="1" applyBorder="1" applyAlignment="1">
      <x:alignment horizontal="center" vertical="center" wrapText="1"/>
    </x:xf>
    <x:xf numFmtId="0" fontId="0" fillId="0" borderId="2" xfId="0" applyBorder="1" applyAlignment="1">
      <x:alignment horizontal="right" vertical="center"/>
    </x:xf>
    <x:xf numFmtId="0" fontId="0" fillId="0" borderId="3" xfId="0" applyBorder="1" applyAlignment="1">
      <x:alignment horizontal="right" vertical="center"/>
    </x:xf>
    <x:xf numFmtId="0" fontId="0" fillId="0" borderId="4" xfId="0" applyBorder="1" applyAlignment="1">
      <x:alignment horizontal="right" vertical="center"/>
    </x:xf>
    <x:xf numFmtId="0" fontId="3" fillId="2" borderId="0" xfId="0" applyFont="1" applyFill="1" applyAlignment="1">
      <x:alignment horizontal="center" vertical="center"/>
    </x:xf>
    <x:xf numFmtId="0" fontId="2" fillId="0" borderId="2" xfId="0" applyFont="1" applyBorder="1" applyAlignment="1">
      <x:alignment horizontal="center" vertical="center"/>
    </x:xf>
    <x:xf numFmtId="0" fontId="2" fillId="0" borderId="4" xfId="0" applyFont="1" applyBorder="1" applyAlignment="1">
      <x:alignment horizontal="center" vertical="center"/>
    </x:xf>
    <x:xf numFmtId="0" fontId="2" fillId="0" borderId="3" xfId="0" applyFont="1" applyBorder="1" applyAlignment="1">
      <x:alignment horizontal="center" vertical="center"/>
    </x:xf>
    <x:xf numFmtId="0" fontId="2" fillId="0" borderId="2" xfId="0" applyFont="1" applyBorder="1" applyAlignment="1">
      <x:alignment horizontal="center"/>
    </x:xf>
    <x:xf numFmtId="0" fontId="2" fillId="0" borderId="4" xfId="0" applyFont="1" applyBorder="1" applyAlignment="1">
      <x:alignment horizontal="center"/>
    </x:xf>
    <x:xf numFmtId="0" fontId="0" fillId="0" borderId="1" xfId="0" applyBorder="1" applyAlignment="1" applyProtection="1">
      <x:alignment horizontal="left" vertical="center"/>
      <x:protection locked="0"/>
    </x:xf>
    <x:xf numFmtId="0" fontId="0" fillId="0" borderId="2" xfId="0" applyBorder="1" applyAlignment="1" applyProtection="1">
      <x:alignment horizontal="center" vertical="top"/>
      <x:protection locked="0"/>
    </x:xf>
    <x:xf numFmtId="0" fontId="0" fillId="0" borderId="3" xfId="0" applyBorder="1" applyAlignment="1" applyProtection="1">
      <x:alignment horizontal="center" vertical="top"/>
      <x:protection locked="0"/>
    </x:xf>
    <x:xf numFmtId="0" fontId="0" fillId="0" borderId="4" xfId="0" applyBorder="1" applyAlignment="1" applyProtection="1">
      <x:alignment horizontal="center" vertical="top"/>
      <x:protection locked="0"/>
    </x:xf>
    <x:xf numFmtId="0" fontId="2" fillId="0" borderId="1" xfId="0" applyFont="1" applyBorder="1" applyAlignment="1">
      <x:alignment horizontal="center"/>
    </x:xf>
    <x:xf numFmtId="0" fontId="3" fillId="2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5" fontId="9" fillId="0" borderId="1" xfId="0" applyNumberFormat="1" applyFill="1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165" fontId="9" fillId="0" borderId="2" xfId="0" applyNumberFormat="1" applyFill="1" applyBorder="1" applyAlignment="1" applyProtection="1">
      <x:alignment horizontal="center" vertical="top" textRotation="0" wrapText="0" indent="0" relativeIndent="0" justifyLastLine="0" shrinkToFit="0" readingOrder="0"/>
      <x:protection locked="0" hidden="0"/>
    </x:xf>
    <x:xf numFmtId="165" fontId="9" fillId="0" borderId="3" xfId="0" applyNumberFormat="1" applyFill="1" applyBorder="1" applyAlignment="1" applyProtection="1">
      <x:alignment horizontal="center" vertical="top" textRotation="0" wrapText="0" indent="0" relativeIndent="0" justifyLastLine="0" shrinkToFit="0" readingOrder="0"/>
      <x:protection locked="0" hidden="0"/>
    </x:xf>
    <x:xf numFmtId="165" fontId="9" fillId="0" borderId="4" xfId="0" applyNumberFormat="1" applyFill="1" applyBorder="1" applyAlignment="1" applyProtection="1">
      <x:alignment horizontal="center" vertical="top" textRotation="0" wrapText="0" indent="0" relativeIndent="0" justifyLastLine="0" shrinkToFit="0" readingOrder="0"/>
      <x:protection locked="0" hidden="0"/>
    </x:xf>
  </x:cellXfs>
  <x:cellStyles count="3">
    <x:cellStyle name="Moeda" xfId="2" builtinId="4"/>
    <x:cellStyle name="Normal" xfId="0" builtinId="0"/>
    <x:cellStyle name="Vírgula" xfId="1" builtinId="3"/>
  </x:cellStyles>
  <x:dxfs count="1">
    <x:dxf>
      <x:font>
        <x:color theme="1"/>
        <x:scheme val="minor"/>
      </x:font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8" /><Relationship Type="http://schemas.openxmlformats.org/officeDocument/2006/relationships/worksheet" Target="worksheets/sheet3.xml" Id="rId3" /><Relationship Type="http://schemas.openxmlformats.org/officeDocument/2006/relationships/connections" Target="connections.xml" Id="rId7" /><Relationship Type="http://schemas.microsoft.com/office/2006/relationships/vbaProject" Target="vbaProject.bin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theme" Target="theme/theme1.xml" Id="rId6" /><Relationship Type="http://schemas.openxmlformats.org/officeDocument/2006/relationships/customXml" Target="../customXml/item1.xml" Id="rId11" /><Relationship Type="http://schemas.openxmlformats.org/officeDocument/2006/relationships/worksheet" Target="worksheets/sheet5.xml" Id="rId5" /><Relationship Type="http://schemas.openxmlformats.org/officeDocument/2006/relationships/calcChain" Target="calcChain.xml" Id="rId10" /><Relationship Type="http://schemas.openxmlformats.org/officeDocument/2006/relationships/worksheet" Target="worksheets/sheet4.xml" Id="rId4" /><Relationship Type="http://schemas.openxmlformats.org/officeDocument/2006/relationships/sharedStrings" Target="sharedStrings.xml" Id="rId9" /><Relationship Type="http://schemas.openxmlformats.org/officeDocument/2006/relationships/worksheet" Target="/xl/worksheets/sheet6.xml" Id="rId13" 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tables/table1.xml><?xml version="1.0" encoding="utf-8"?>
<x:table xmlns:x="http://schemas.openxmlformats.org/spreadsheetml/2006/main" id="1" name="compras_tblempresa" displayName="compras_tblempresa" ref="A1:Q14" totalsRowShown="0">
  <x:tableColumns count="17">
    <x:tableColumn id="1" name="codigo" dataDxfId="0"/>
    <x:tableColumn id="2" name="abreviacao" dataDxfId="0"/>
    <x:tableColumn id="3" name="nome" dataDxfId="0"/>
    <x:tableColumn id="4" name="endereco" dataDxfId="0"/>
    <x:tableColumn id="5" name="cnpj" dataDxfId="0"/>
    <x:tableColumn id="6" name="inscricao" dataDxfId="0"/>
    <x:tableColumn id="7" name="bairro" dataDxfId="0"/>
    <x:tableColumn id="8" name="cidade" dataDxfId="0"/>
    <x:tableColumn id="9" name="estado" dataDxfId="0"/>
    <x:tableColumn id="10" name="localentrega" dataDxfId="0"/>
    <x:tableColumn id="11" name="cep" dataDxfId="0"/>
    <x:tableColumn id="12" name="telefone" dataDxfId="0"/>
    <x:tableColumn id="13" name="fax" dataDxfId="0"/>
    <x:tableColumn id="14" name="totvs" dataDxfId="0"/>
    <x:tableColumn id="15" name="conta" dataDxfId="0"/>
    <x:tableColumn id="16" name="conta_cartao" dataDxfId="0"/>
    <x:tableColumn id="17" name="conta_caixa" dataDxfId="0"/>
  </x:tableColumns>
  <x:tableStyleInfo name="TableStyleMedium7" showFirstColumn="0" showLastColumn="0" showRowStripes="1" showColumnStripes="0"/>
</x: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&#65279;<?xml version="1.0" encoding="utf-8" standalone="yes"?>
<Relationships xmlns="http://schemas.openxmlformats.org/package/2006/relationships">
  <Relationship Id="rId3" Type="http://schemas.openxmlformats.org/officeDocument/2006/relationships/vmlDrawing" Target="../drawings/vmlDrawing1.vml" />
  <Relationship Id="rId7" Type="http://schemas.openxmlformats.org/officeDocument/2006/relationships/image" Target="../media/image2.emf" />
  <Relationship Id="rId2" Type="http://schemas.openxmlformats.org/officeDocument/2006/relationships/drawing" Target="../drawings/drawing1.xml" />
  <Relationship Id="rId1" Type="http://schemas.openxmlformats.org/officeDocument/2006/relationships/printerSettings" Target="../printerSettings/printerSettings1.bin" />
  <Relationship Id="rId5" Type="http://schemas.openxmlformats.org/officeDocument/2006/relationships/image" Target="../media/image1.emf" />
  <Relationship Id="rId9" Type="http://schemas.openxmlformats.org/officeDocument/2006/relationships/image" Target="../media/image3.emf" />
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FDB5723C-F6EF-45EB-8DAE-76E6949955B2}" mc:Ignorable="x14ac xr xr2 xr3">
  <x:sheetPr codeName="Planilha1">
    <x:outlinePr summaryBelow="1" summaryRight="1"/>
    <x:pageSetUpPr fitToPage="1"/>
  </x:sheetPr>
  <x:dimension ref="A1:J52"/>
  <x:sheetViews>
    <x:sheetView showGridLines="0" tabSelected="1" workbookViewId="0">
      <x:selection activeCell="C9" sqref="C9"/>
    </x:sheetView>
  </x:sheetViews>
  <x:sheetFormatPr defaultRowHeight="15" x14ac:dyDescent="0.25"/>
  <x:cols>
    <x:col min="1" max="1" width="9.140625" style="0" customWidth="1"/>
    <x:col min="2" max="4" width="15.710938" style="0" customWidth="1"/>
    <x:col min="5" max="5" width="15.285156" style="0" customWidth="1"/>
    <x:col min="6" max="6" width="10.710938" style="0" customWidth="1"/>
    <x:col min="7" max="7" width="19.140625" style="0" customWidth="1"/>
    <x:col min="8" max="8" width="12.285156" style="0" bestFit="1" customWidth="1"/>
    <x:col min="9" max="9" width="20.140625" style="0" bestFit="1" customWidth="1"/>
    <x:col min="10" max="10" width="12.425781" style="0" hidden="1" customWidth="1"/>
  </x:cols>
  <x:sheetData>
    <x:row r="1" spans="1:10" ht="15" customHeight="1" x14ac:dyDescent="0.25">
      <x:c r="A1" s="36" t="s">
        <x:v>0</x:v>
      </x:c>
      <x:c r="B1" s="36"/>
      <x:c r="C1" s="36"/>
      <x:c r="D1" s="36"/>
      <x:c r="E1" s="36"/>
      <x:c r="F1" s="36"/>
      <x:c r="G1" s="36"/>
    </x:row>
    <x:row r="2" spans="1:10" ht="15" customHeight="1" x14ac:dyDescent="0.25">
      <x:c r="A2" s="36"/>
      <x:c r="B2" s="36"/>
      <x:c r="C2" s="36"/>
      <x:c r="D2" s="36"/>
      <x:c r="E2" s="36"/>
      <x:c r="F2" s="36"/>
      <x:c r="G2" s="36"/>
    </x:row>
    <x:row r="3" spans="1:10" ht="15" customHeight="1" x14ac:dyDescent="0.25">
      <x:c r="A3" s="36"/>
      <x:c r="B3" s="36"/>
      <x:c r="C3" s="36"/>
      <x:c r="D3" s="36"/>
      <x:c r="E3" s="36"/>
      <x:c r="F3" s="36"/>
      <x:c r="G3" s="36"/>
    </x:row>
    <x:row r="4" spans="1:10" x14ac:dyDescent="0.25">
      <x:c r="D4" s="2" t="s">
        <x:v>1</x:v>
      </x:c>
      <x:c r="E4" s="4"/>
      <x:c r="F4" s="2" t="s">
        <x:v>2</x:v>
      </x:c>
      <x:c r="G4" s="3"/>
    </x:row>
    <x:row r="5" spans="1:10" ht="3.75" customHeight="1" x14ac:dyDescent="0.25"/>
    <x:row r="6" spans="1:10" ht="20.25" customHeight="1" x14ac:dyDescent="0.25">
      <x:c r="A6" s="26" t="s">
        <x:v>3</x:v>
      </x:c>
      <x:c r="B6" s="27"/>
      <x:c r="C6" s="37" t="s">
        <x:v>4</x:v>
      </x:c>
      <x:c r="D6" s="37"/>
      <x:c r="E6" s="37"/>
      <x:c r="F6" s="37"/>
      <x:c r="G6" s="37"/>
    </x:row>
    <x:row r="7" spans="1:10" ht="20.25" customHeight="1" x14ac:dyDescent="0.25">
      <x:c r="A7" s="26" t="s">
        <x:v>5</x:v>
      </x:c>
      <x:c r="B7" s="27"/>
      <x:c r="C7" s="37" t="s">
        <x:v>6</x:v>
      </x:c>
      <x:c r="D7" s="37"/>
      <x:c r="E7" s="37"/>
      <x:c r="F7" s="37"/>
      <x:c r="G7" s="37"/>
    </x:row>
    <x:row r="8" spans="1:10" ht="20.25" customHeight="1" x14ac:dyDescent="0.25">
      <x:c r="A8" s="26" t="s">
        <x:v>7</x:v>
      </x:c>
      <x:c r="B8" s="28"/>
      <x:c r="C8" s="27"/>
      <x:c r="D8" s="38" t="s">
        <x:v>6</x:v>
      </x:c>
      <x:c r="E8" s="39"/>
      <x:c r="F8" s="39"/>
      <x:c r="G8" s="40"/>
    </x:row>
    <x:row r="9" spans="1:10" x14ac:dyDescent="0.25">
      <x:c r="A9" s="29" t="s">
        <x:v>8</x:v>
      </x:c>
      <x:c r="B9" s="30"/>
      <x:c r="C9" s="14"/>
      <x:c r="D9" s="15" t="s">
        <x:v>9</x:v>
      </x:c>
      <x:c r="E9" s="16"/>
      <x:c r="F9" s="16" t="s">
        <x:v>10</x:v>
      </x:c>
      <x:c r="G9" s="16"/>
    </x:row>
    <x:row r="11" spans="1:10" x14ac:dyDescent="0.25">
      <x:c r="A11" s="1" t="s">
        <x:v>11</x:v>
      </x:c>
      <x:c r="B11" s="1" t="s">
        <x:v>12</x:v>
      </x:c>
      <x:c r="C11" s="1"/>
      <x:c r="D11" s="1"/>
      <x:c r="E11" s="1" t="s">
        <x:v>13</x:v>
      </x:c>
      <x:c r="F11" s="1" t="s">
        <x:v>14</x:v>
      </x:c>
      <x:c r="G11" s="1" t="s">
        <x:v>15</x:v>
      </x:c>
      <x:c r="H11" s="6" t="s">
        <x:v>16</x:v>
      </x:c>
      <x:c r="I11" s="6" t="s">
        <x:v>17</x:v>
      </x:c>
    </x:row>
    <x:row r="12" spans="1:10" ht="30" customHeight="1" x14ac:dyDescent="0.25">
      <x:c r="A12" s="9"/>
      <x:c r="B12" s="19"/>
      <x:c r="C12" s="20"/>
      <x:c r="D12" s="21"/>
      <x:c r="E12" s="11"/>
      <x:c r="F12" s="12"/>
      <x:c r="G12" s="10">
        <x:f>E12*F12</x:f>
      </x:c>
      <x:c r="H12" s="13">
        <x:f>IF(F12&lt;=0,"REPROVADO","APROVADO")</x:f>
      </x:c>
      <x:c r="I12" s="17"/>
    </x:row>
    <x:row r="13" spans="1:10" ht="30" customHeight="1" x14ac:dyDescent="0.25">
      <x:c r="A13" s="9"/>
      <x:c r="B13" s="19"/>
      <x:c r="C13" s="20"/>
      <x:c r="D13" s="21"/>
      <x:c r="E13" s="11"/>
      <x:c r="F13" s="12"/>
      <x:c r="G13" s="10">
        <x:f>E13*F13</x:f>
      </x:c>
      <x:c r="H13" s="13">
        <x:f>IF(F13&lt;=0,"REPROVADO","APROVADO")</x:f>
      </x:c>
      <x:c r="I13" s="17"/>
    </x:row>
    <x:row r="14" spans="1:10" ht="30" customHeight="1" x14ac:dyDescent="0.25">
      <x:c r="A14" s="9"/>
      <x:c r="B14" s="19"/>
      <x:c r="C14" s="20"/>
      <x:c r="D14" s="21"/>
      <x:c r="E14" s="11"/>
      <x:c r="F14" s="12"/>
      <x:c r="G14" s="10">
        <x:f>E14*F14</x:f>
      </x:c>
      <x:c r="H14" s="13">
        <x:f>IF(F14&lt;=0,"REPROVADO","APROVADO")</x:f>
      </x:c>
      <x:c r="I14" s="17"/>
    </x:row>
    <x:row r="15" spans="1:10" ht="30" customHeight="1" x14ac:dyDescent="0.25">
      <x:c r="A15" s="9"/>
      <x:c r="B15" s="19"/>
      <x:c r="C15" s="20"/>
      <x:c r="D15" s="21"/>
      <x:c r="E15" s="11"/>
      <x:c r="F15" s="12"/>
      <x:c r="G15" s="10">
        <x:f>E15*F15</x:f>
      </x:c>
      <x:c r="H15" s="13">
        <x:f>IF(F15&lt;=0,"REPROVADO","APROVADO")</x:f>
      </x:c>
      <x:c r="I15" s="17"/>
    </x:row>
    <x:row r="16" spans="1:10" ht="30" customHeight="1" x14ac:dyDescent="0.25">
      <x:c r="A16" s="9"/>
      <x:c r="B16" s="19"/>
      <x:c r="C16" s="20"/>
      <x:c r="D16" s="21"/>
      <x:c r="E16" s="11"/>
      <x:c r="F16" s="12"/>
      <x:c r="G16" s="10">
        <x:f>E16*F16</x:f>
      </x:c>
      <x:c r="H16" s="13">
        <x:f>IF(F16&lt;=0,"REPROVADO","APROVADO")</x:f>
      </x:c>
      <x:c r="I16" s="17"/>
    </x:row>
    <x:row r="17" spans="1:10" ht="30" customHeight="1" x14ac:dyDescent="0.25">
      <x:c r="A17" s="9"/>
      <x:c r="B17" s="19"/>
      <x:c r="C17" s="20"/>
      <x:c r="D17" s="21"/>
      <x:c r="E17" s="11"/>
      <x:c r="F17" s="12"/>
      <x:c r="G17" s="10">
        <x:f>E17*F17</x:f>
      </x:c>
      <x:c r="H17" s="13">
        <x:f>IF(F17&lt;=0,"REPROVADO","APROVADO")</x:f>
      </x:c>
      <x:c r="I17" s="17"/>
    </x:row>
    <x:row r="18" spans="1:10" ht="30" customHeight="1" x14ac:dyDescent="0.25">
      <x:c r="A18" s="9"/>
      <x:c r="B18" s="19"/>
      <x:c r="C18" s="20"/>
      <x:c r="D18" s="21"/>
      <x:c r="E18" s="11"/>
      <x:c r="F18" s="12"/>
      <x:c r="G18" s="10">
        <x:f>E18*F18</x:f>
      </x:c>
      <x:c r="H18" s="13">
        <x:f>IF(F18&lt;=0,"REPROVADO","APROVADO")</x:f>
      </x:c>
      <x:c r="I18" s="17"/>
    </x:row>
    <x:row r="19" spans="1:10" ht="30" customHeight="1" x14ac:dyDescent="0.25">
      <x:c r="A19" s="9"/>
      <x:c r="B19" s="19"/>
      <x:c r="C19" s="20"/>
      <x:c r="D19" s="21"/>
      <x:c r="E19" s="11"/>
      <x:c r="F19" s="12"/>
      <x:c r="G19" s="10">
        <x:f>E19*F19</x:f>
      </x:c>
      <x:c r="H19" s="13">
        <x:f>IF(F19&lt;=0,"REPROVADO","APROVADO")</x:f>
      </x:c>
      <x:c r="I19" s="17"/>
    </x:row>
    <x:row r="20" spans="1:10" ht="30" customHeight="1" x14ac:dyDescent="0.25">
      <x:c r="A20" s="9"/>
      <x:c r="B20" s="19"/>
      <x:c r="C20" s="20"/>
      <x:c r="D20" s="21"/>
      <x:c r="E20" s="11"/>
      <x:c r="F20" s="12"/>
      <x:c r="G20" s="10">
        <x:f>E20*F20</x:f>
      </x:c>
      <x:c r="H20" s="13">
        <x:f>IF(F20&lt;=0,"REPROVADO","APROVADO")</x:f>
      </x:c>
      <x:c r="I20" s="17"/>
    </x:row>
    <x:row r="21" spans="1:10" ht="30" customHeight="1" x14ac:dyDescent="0.25">
      <x:c r="A21" s="9"/>
      <x:c r="B21" s="19"/>
      <x:c r="C21" s="20"/>
      <x:c r="D21" s="21"/>
      <x:c r="E21" s="11"/>
      <x:c r="F21" s="12"/>
      <x:c r="G21" s="10">
        <x:f>E21*F21</x:f>
      </x:c>
      <x:c r="H21" s="13">
        <x:f>IF(F21&lt;=0,"REPROVADO","APROVADO")</x:f>
      </x:c>
      <x:c r="I21" s="17"/>
    </x:row>
    <x:row r="22" spans="1:10" ht="30" customHeight="1" x14ac:dyDescent="0.25">
      <x:c r="A22" s="9"/>
      <x:c r="B22" s="19"/>
      <x:c r="C22" s="20"/>
      <x:c r="D22" s="21"/>
      <x:c r="E22" s="11"/>
      <x:c r="F22" s="12"/>
      <x:c r="G22" s="10">
        <x:f>E22*F22</x:f>
      </x:c>
      <x:c r="H22" s="13">
        <x:f>IF(F22&lt;=0,"REPROVADO","APROVADO")</x:f>
      </x:c>
      <x:c r="I22" s="17"/>
    </x:row>
    <x:row r="23" spans="1:10" ht="30" customHeight="1" x14ac:dyDescent="0.25">
      <x:c r="A23" s="9"/>
      <x:c r="B23" s="19"/>
      <x:c r="C23" s="20"/>
      <x:c r="D23" s="21"/>
      <x:c r="E23" s="11"/>
      <x:c r="F23" s="12"/>
      <x:c r="G23" s="10">
        <x:f>E23*F23</x:f>
      </x:c>
      <x:c r="H23" s="13">
        <x:f>IF(F23&lt;=0,"REPROVADO","APROVADO")</x:f>
      </x:c>
      <x:c r="I23" s="17"/>
    </x:row>
    <x:row r="24" spans="1:10" ht="30" customHeight="1" x14ac:dyDescent="0.25">
      <x:c r="A24" s="9"/>
      <x:c r="B24" s="19"/>
      <x:c r="C24" s="20"/>
      <x:c r="D24" s="21"/>
      <x:c r="E24" s="11"/>
      <x:c r="F24" s="12"/>
      <x:c r="G24" s="10">
        <x:f>E24*F24</x:f>
      </x:c>
      <x:c r="H24" s="13">
        <x:f>IF(F24&lt;=0,"REPROVADO","APROVADO")</x:f>
      </x:c>
      <x:c r="I24" s="17"/>
    </x:row>
    <x:row r="25" spans="1:10" ht="30" customHeight="1" x14ac:dyDescent="0.25">
      <x:c r="A25" s="9"/>
      <x:c r="B25" s="19"/>
      <x:c r="C25" s="20"/>
      <x:c r="D25" s="21"/>
      <x:c r="E25" s="11"/>
      <x:c r="F25" s="12"/>
      <x:c r="G25" s="10">
        <x:f>E25*F25</x:f>
      </x:c>
      <x:c r="H25" s="13">
        <x:f>IF(F25&lt;=0,"REPROVADO","APROVADO")</x:f>
      </x:c>
      <x:c r="I25" s="17"/>
    </x:row>
    <x:row r="26" spans="1:10" ht="30" customHeight="1" x14ac:dyDescent="0.25">
      <x:c r="A26" s="9"/>
      <x:c r="B26" s="19"/>
      <x:c r="C26" s="20"/>
      <x:c r="D26" s="21"/>
      <x:c r="E26" s="11"/>
      <x:c r="F26" s="12"/>
      <x:c r="G26" s="10">
        <x:f>E26*F26</x:f>
      </x:c>
      <x:c r="H26" s="13">
        <x:f>IF(F26&lt;=0,"REPROVADO","APROVADO")</x:f>
      </x:c>
      <x:c r="I26" s="17"/>
    </x:row>
    <x:row r="27" spans="1:10" ht="30" customHeight="1" x14ac:dyDescent="0.25">
      <x:c r="A27" s="9"/>
      <x:c r="B27" s="19"/>
      <x:c r="C27" s="20"/>
      <x:c r="D27" s="21"/>
      <x:c r="E27" s="11"/>
      <x:c r="F27" s="12"/>
      <x:c r="G27" s="10">
        <x:f>E27*F27</x:f>
      </x:c>
      <x:c r="H27" s="13">
        <x:f>IF(F27&lt;=0,"REPROVADO","APROVADO")</x:f>
      </x:c>
      <x:c r="I27" s="17"/>
    </x:row>
    <x:row r="28" spans="1:10" ht="30" customHeight="1" x14ac:dyDescent="0.25">
      <x:c r="A28" s="9"/>
      <x:c r="B28" s="19"/>
      <x:c r="C28" s="20"/>
      <x:c r="D28" s="21"/>
      <x:c r="E28" s="11"/>
      <x:c r="F28" s="12"/>
      <x:c r="G28" s="10">
        <x:f>E28*F28</x:f>
      </x:c>
      <x:c r="H28" s="13">
        <x:f>IF(F28&lt;=0,"REPROVADO","APROVADO")</x:f>
      </x:c>
      <x:c r="I28" s="17"/>
    </x:row>
    <x:row r="29" spans="1:10" ht="30" customHeight="1" x14ac:dyDescent="0.25">
      <x:c r="A29" s="9"/>
      <x:c r="B29" s="19"/>
      <x:c r="C29" s="20"/>
      <x:c r="D29" s="21"/>
      <x:c r="E29" s="11"/>
      <x:c r="F29" s="12"/>
      <x:c r="G29" s="10">
        <x:f>E29*F29</x:f>
      </x:c>
      <x:c r="H29" s="13">
        <x:f>IF(F29&lt;=0,"REPROVADO","APROVADO")</x:f>
      </x:c>
      <x:c r="I29" s="17"/>
    </x:row>
    <x:row r="30" spans="1:10" ht="30" customHeight="1" x14ac:dyDescent="0.25">
      <x:c r="A30" s="9"/>
      <x:c r="B30" s="19"/>
      <x:c r="C30" s="20"/>
      <x:c r="D30" s="21"/>
      <x:c r="E30" s="11"/>
      <x:c r="F30" s="12"/>
      <x:c r="G30" s="10">
        <x:f>E30*F30</x:f>
      </x:c>
      <x:c r="H30" s="13">
        <x:f>IF(F30&lt;=0,"REPROVADO","APROVADO")</x:f>
      </x:c>
      <x:c r="I30" s="17"/>
    </x:row>
    <x:row r="31" spans="1:10" ht="30" customHeight="1" x14ac:dyDescent="0.25">
      <x:c r="A31" s="9"/>
      <x:c r="B31" s="19"/>
      <x:c r="C31" s="20"/>
      <x:c r="D31" s="21"/>
      <x:c r="E31" s="11"/>
      <x:c r="F31" s="12"/>
      <x:c r="G31" s="10">
        <x:f>E31*F31</x:f>
      </x:c>
      <x:c r="H31" s="13">
        <x:f>IF(F31&lt;=0,"REPROVADO","APROVADO")</x:f>
      </x:c>
      <x:c r="I31" s="17"/>
    </x:row>
    <x:row r="32" spans="1:10" ht="30" customHeight="1" s="7" customFormat="1" x14ac:dyDescent="0.25">
      <x:c r="A32" s="9"/>
      <x:c r="B32" s="19"/>
      <x:c r="C32" s="20"/>
      <x:c r="D32" s="21"/>
      <x:c r="E32" s="11"/>
      <x:c r="F32" s="12"/>
      <x:c r="G32" s="10">
        <x:f>E32*F32</x:f>
      </x:c>
      <x:c r="H32" s="13">
        <x:f>IF(F32&lt;=0,"REPROVADO","APROVADO")</x:f>
      </x:c>
      <x:c r="I32" s="18"/>
    </x:row>
    <x:row r="33" spans="1:10" ht="30" customHeight="1" s="7" customFormat="1" x14ac:dyDescent="0.25">
      <x:c r="A33" s="9"/>
      <x:c r="B33" s="19"/>
      <x:c r="C33" s="20"/>
      <x:c r="D33" s="21"/>
      <x:c r="E33" s="11"/>
      <x:c r="F33" s="12"/>
      <x:c r="G33" s="10">
        <x:f>E33*F33</x:f>
      </x:c>
      <x:c r="H33" s="13">
        <x:f>IF(F33&lt;=0,"REPROVADO","APROVADO")</x:f>
      </x:c>
      <x:c r="I33" s="18"/>
    </x:row>
    <x:row r="34" spans="1:10" ht="30" customHeight="1" s="7" customFormat="1" x14ac:dyDescent="0.25">
      <x:c r="A34" s="9"/>
      <x:c r="B34" s="19"/>
      <x:c r="C34" s="20"/>
      <x:c r="D34" s="21"/>
      <x:c r="E34" s="11"/>
      <x:c r="F34" s="12"/>
      <x:c r="G34" s="10">
        <x:f>E34*F34</x:f>
      </x:c>
      <x:c r="H34" s="13">
        <x:f>IF(F34&lt;=0,"REPROVADO","APROVADO")</x:f>
      </x:c>
      <x:c r="I34" s="18"/>
    </x:row>
    <x:row r="35" spans="1:10" ht="30" customHeight="1" s="7" customFormat="1" x14ac:dyDescent="0.25">
      <x:c r="A35" s="9"/>
      <x:c r="B35" s="19"/>
      <x:c r="C35" s="20"/>
      <x:c r="D35" s="21"/>
      <x:c r="E35" s="11"/>
      <x:c r="F35" s="12"/>
      <x:c r="G35" s="10">
        <x:f>E35*F35</x:f>
      </x:c>
      <x:c r="H35" s="13">
        <x:f>IF(F35&lt;=0,"REPROVADO","APROVADO")</x:f>
      </x:c>
      <x:c r="I35" s="18"/>
    </x:row>
    <x:row r="36" spans="1:10" ht="30" customHeight="1" s="7" customFormat="1" x14ac:dyDescent="0.25">
      <x:c r="A36" s="9"/>
      <x:c r="B36" s="19"/>
      <x:c r="C36" s="20"/>
      <x:c r="D36" s="21"/>
      <x:c r="E36" s="11"/>
      <x:c r="F36" s="12"/>
      <x:c r="G36" s="10">
        <x:f>E36*F36</x:f>
      </x:c>
      <x:c r="H36" s="13">
        <x:f>IF(F36&lt;=0,"REPROVADO","APROVADO")</x:f>
      </x:c>
      <x:c r="I36" s="18"/>
    </x:row>
    <x:row r="37" spans="1:10" ht="30" customHeight="1" s="7" customFormat="1" x14ac:dyDescent="0.25">
      <x:c r="A37" s="9"/>
      <x:c r="B37" s="19"/>
      <x:c r="C37" s="20"/>
      <x:c r="D37" s="21"/>
      <x:c r="E37" s="11"/>
      <x:c r="F37" s="12"/>
      <x:c r="G37" s="10">
        <x:f>E37*F37</x:f>
      </x:c>
      <x:c r="H37" s="13">
        <x:f>IF(F37&lt;=0,"REPROVADO","APROVADO")</x:f>
      </x:c>
      <x:c r="I37" s="18"/>
    </x:row>
    <x:row r="38" spans="1:10" ht="30" customHeight="1" s="7" customFormat="1" x14ac:dyDescent="0.25">
      <x:c r="A38" s="9"/>
      <x:c r="B38" s="19"/>
      <x:c r="C38" s="20"/>
      <x:c r="D38" s="21"/>
      <x:c r="E38" s="11"/>
      <x:c r="F38" s="12"/>
      <x:c r="G38" s="10">
        <x:f>E38*F38</x:f>
      </x:c>
      <x:c r="H38" s="13">
        <x:f>IF(F38&lt;=0,"REPROVADO","APROVADO")</x:f>
      </x:c>
      <x:c r="I38" s="18"/>
    </x:row>
    <x:row r="39" spans="1:10" ht="30" customHeight="1" s="7" customFormat="1" x14ac:dyDescent="0.25">
      <x:c r="A39" s="9"/>
      <x:c r="B39" s="19"/>
      <x:c r="C39" s="20"/>
      <x:c r="D39" s="21"/>
      <x:c r="E39" s="11"/>
      <x:c r="F39" s="12"/>
      <x:c r="G39" s="10">
        <x:f>E39*F39</x:f>
      </x:c>
      <x:c r="H39" s="13">
        <x:f>IF(F39&lt;=0,"REPROVADO","APROVADO")</x:f>
      </x:c>
      <x:c r="I39" s="18"/>
    </x:row>
    <x:row r="40" spans="1:10" ht="30" customHeight="1" s="7" customFormat="1" x14ac:dyDescent="0.25">
      <x:c r="A40" s="9"/>
      <x:c r="B40" s="19"/>
      <x:c r="C40" s="20"/>
      <x:c r="D40" s="21"/>
      <x:c r="E40" s="11"/>
      <x:c r="F40" s="12"/>
      <x:c r="G40" s="10">
        <x:f>E40*F40</x:f>
      </x:c>
      <x:c r="H40" s="13">
        <x:f>IF(F40&lt;=0,"REPROVADO","APROVADO")</x:f>
      </x:c>
      <x:c r="I40" s="18"/>
    </x:row>
    <x:row r="41" spans="1:10" ht="30" customHeight="1" s="7" customFormat="1" x14ac:dyDescent="0.25">
      <x:c r="A41" s="9"/>
      <x:c r="B41" s="19"/>
      <x:c r="C41" s="20"/>
      <x:c r="D41" s="21"/>
      <x:c r="E41" s="11"/>
      <x:c r="F41" s="12"/>
      <x:c r="G41" s="10">
        <x:f>E41*F41</x:f>
      </x:c>
      <x:c r="H41" s="13">
        <x:f>IF(F41&lt;=0,"REPROVADO","APROVADO")</x:f>
      </x:c>
      <x:c r="I41" s="18"/>
    </x:row>
    <x:row r="42" spans="1:10" ht="30" customHeight="1" s="7" customFormat="1" x14ac:dyDescent="0.25">
      <x:c r="A42" s="9"/>
      <x:c r="B42" s="19"/>
      <x:c r="C42" s="20"/>
      <x:c r="D42" s="21"/>
      <x:c r="E42" s="11"/>
      <x:c r="F42" s="12"/>
      <x:c r="G42" s="10">
        <x:f>E42*F42</x:f>
      </x:c>
      <x:c r="H42" s="13">
        <x:f>IF(F42&lt;=0,"REPROVADO","APROVADO")</x:f>
      </x:c>
      <x:c r="I42" s="18"/>
    </x:row>
    <x:row r="43" spans="1:10" ht="30" customHeight="1" s="7" customFormat="1" x14ac:dyDescent="0.25">
      <x:c r="A43" s="9"/>
      <x:c r="B43" s="19"/>
      <x:c r="C43" s="20"/>
      <x:c r="D43" s="21"/>
      <x:c r="E43" s="11"/>
      <x:c r="F43" s="12"/>
      <x:c r="G43" s="10">
        <x:f>E43*F43</x:f>
      </x:c>
      <x:c r="H43" s="13">
        <x:f>IF(F43&lt;=0,"REPROVADO","APROVADO")</x:f>
      </x:c>
      <x:c r="I43" s="18"/>
      <x:c r="J43" s="8"/>
    </x:row>
    <x:row r="44" spans="1:10" ht="30" customHeight="1" s="7" customFormat="1" x14ac:dyDescent="0.25">
      <x:c r="A44" s="9"/>
      <x:c r="B44" s="19"/>
      <x:c r="C44" s="20"/>
      <x:c r="D44" s="21"/>
      <x:c r="E44" s="11"/>
      <x:c r="F44" s="12"/>
      <x:c r="G44" s="10">
        <x:f>E44*F44</x:f>
      </x:c>
      <x:c r="H44" s="13">
        <x:f>IF(F44&lt;=0,"REPROVADO","APROVADO")</x:f>
      </x:c>
      <x:c r="I44" s="18"/>
    </x:row>
    <x:row r="45" spans="1:10" ht="30" customHeight="1" s="7" customFormat="1" x14ac:dyDescent="0.25">
      <x:c r="A45" s="9"/>
      <x:c r="B45" s="19"/>
      <x:c r="C45" s="20"/>
      <x:c r="D45" s="21"/>
      <x:c r="E45" s="11"/>
      <x:c r="F45" s="12"/>
      <x:c r="G45" s="10">
        <x:f>E45*F45</x:f>
      </x:c>
      <x:c r="H45" s="13">
        <x:f>IF(F45&lt;=0,"REPROVADO","APROVADO")</x:f>
      </x:c>
      <x:c r="I45" s="18"/>
    </x:row>
    <x:row r="46" spans="1:10" ht="30" customHeight="1" s="7" customFormat="1" x14ac:dyDescent="0.25">
      <x:c r="A46" s="9"/>
      <x:c r="B46" s="19"/>
      <x:c r="C46" s="20"/>
      <x:c r="D46" s="21"/>
      <x:c r="E46" s="11"/>
      <x:c r="F46" s="12"/>
      <x:c r="G46" s="10">
        <x:f>E46*F46</x:f>
      </x:c>
      <x:c r="H46" s="13">
        <x:f>IF(F46&lt;=0,"REPROVADO","APROVADO")</x:f>
      </x:c>
      <x:c r="I46" s="18"/>
    </x:row>
    <x:row r="47" spans="1:10" ht="30" customHeight="1" s="7" customFormat="1" x14ac:dyDescent="0.25">
      <x:c r="A47" s="9"/>
      <x:c r="B47" s="19"/>
      <x:c r="C47" s="20"/>
      <x:c r="D47" s="21"/>
      <x:c r="E47" s="11"/>
      <x:c r="F47" s="12"/>
      <x:c r="G47" s="10">
        <x:f>E47*F47</x:f>
      </x:c>
      <x:c r="H47" s="13">
        <x:f>IF(F47&lt;=0,"REPROVADO","APROVADO")</x:f>
      </x:c>
      <x:c r="I47" s="18"/>
    </x:row>
    <x:row r="48" spans="1:10" ht="30" customHeight="1" s="7" customFormat="1" x14ac:dyDescent="0.25">
      <x:c r="A48" s="9"/>
      <x:c r="B48" s="19"/>
      <x:c r="C48" s="20"/>
      <x:c r="D48" s="21"/>
      <x:c r="E48" s="11"/>
      <x:c r="F48" s="12"/>
      <x:c r="G48" s="10">
        <x:f>E48*F48</x:f>
      </x:c>
      <x:c r="H48" s="13">
        <x:f>IF(F48&lt;=0,"REPROVADO","APROVADO")</x:f>
      </x:c>
      <x:c r="I48" s="18"/>
    </x:row>
    <x:row r="49" spans="1:10" ht="30" customHeight="1" s="7" customFormat="1" x14ac:dyDescent="0.25">
      <x:c r="A49" s="9"/>
      <x:c r="B49" s="19"/>
      <x:c r="C49" s="20"/>
      <x:c r="D49" s="21"/>
      <x:c r="E49" s="11"/>
      <x:c r="F49" s="12"/>
      <x:c r="G49" s="10">
        <x:f>E49*F49</x:f>
      </x:c>
      <x:c r="H49" s="13">
        <x:f>IF(F49&lt;=0,"REPROVADO","APROVADO")</x:f>
      </x:c>
      <x:c r="I49" s="18"/>
    </x:row>
    <x:row r="50" spans="1:10" ht="30" customHeight="1" s="7" customFormat="1" x14ac:dyDescent="0.25">
      <x:c r="A50" s="9"/>
      <x:c r="B50" s="19"/>
      <x:c r="C50" s="20"/>
      <x:c r="D50" s="21"/>
      <x:c r="E50" s="11"/>
      <x:c r="F50" s="12"/>
      <x:c r="G50" s="10">
        <x:f>E50*F50</x:f>
      </x:c>
      <x:c r="H50" s="13">
        <x:f>IF(F50&lt;=0,"REPROVADO","APROVADO")</x:f>
      </x:c>
      <x:c r="I50" s="18"/>
    </x:row>
    <x:row r="51" spans="1:10" ht="30" customHeight="1" s="7" customFormat="1" x14ac:dyDescent="0.25">
      <x:c r="A51" s="9"/>
      <x:c r="B51" s="19"/>
      <x:c r="C51" s="20"/>
      <x:c r="D51" s="21"/>
      <x:c r="E51" s="11"/>
      <x:c r="F51" s="12"/>
      <x:c r="G51" s="10">
        <x:f>E51*F51</x:f>
      </x:c>
      <x:c r="H51" s="13">
        <x:f>IF(F51&lt;=0,"REPROVADO","APROVADO")</x:f>
      </x:c>
      <x:c r="I51" s="18"/>
    </x:row>
    <x:row r="52" spans="1:10" x14ac:dyDescent="0.25">
      <x:c r="A52" s="22" t="s">
        <x:v>18</x:v>
      </x:c>
      <x:c r="B52" s="23"/>
      <x:c r="C52" s="23"/>
      <x:c r="D52" s="23"/>
      <x:c r="E52" s="23"/>
      <x:c r="F52" s="24"/>
      <x:c r="G52" s="5">
        <x:f>SUM(G12:G51)</x:f>
      </x:c>
    </x:row>
  </x:sheetData>
  <x:sheetProtection algorithmName="SHA-512" hashValue="KbguFuujw4+/m8GBT1KG0XqasVasrP3gYkOLO3xSweZbruE+tUrmeWDWRwofEb9wABeCFyKzvAd8rTLX/cEMEg==" saltValue="gjSzYtt99tHWPvQzz+Lo1w==" spinCount="100000" sheet="1" objects="1" formatCells="0" formatColumns="0" formatRows="0"/>
  <x:mergeCells count="50">
    <x:mergeCell ref="A1:G3"/>
    <x:mergeCell ref="A6:B6"/>
    <x:mergeCell ref="C6:G6"/>
    <x:mergeCell ref="A7:B7"/>
    <x:mergeCell ref="C7:G7"/>
    <x:mergeCell ref="A8:C8"/>
    <x:mergeCell ref="D8:G8"/>
    <x:mergeCell ref="A9:B9"/>
    <x:mergeCell ref="B11:D11"/>
    <x:mergeCell ref="B12:D12"/>
    <x:mergeCell ref="B13:D13"/>
    <x:mergeCell ref="B14:D14"/>
    <x:mergeCell ref="B15:D15"/>
    <x:mergeCell ref="B16:D16"/>
    <x:mergeCell ref="B17:D17"/>
    <x:mergeCell ref="B18:D18"/>
    <x:mergeCell ref="B19:D19"/>
    <x:mergeCell ref="B20:D20"/>
    <x:mergeCell ref="B21:D21"/>
    <x:mergeCell ref="B22:D22"/>
    <x:mergeCell ref="B23:D23"/>
    <x:mergeCell ref="B24:D24"/>
    <x:mergeCell ref="B25:D25"/>
    <x:mergeCell ref="B26:D26"/>
    <x:mergeCell ref="B27:D27"/>
    <x:mergeCell ref="B28:D28"/>
    <x:mergeCell ref="B29:D29"/>
    <x:mergeCell ref="B30:D30"/>
    <x:mergeCell ref="B31:D31"/>
    <x:mergeCell ref="B32:D32"/>
    <x:mergeCell ref="B33:D33"/>
    <x:mergeCell ref="B34:D34"/>
    <x:mergeCell ref="B35:D35"/>
    <x:mergeCell ref="B36:D36"/>
    <x:mergeCell ref="B37:D37"/>
    <x:mergeCell ref="B38:D38"/>
    <x:mergeCell ref="B39:D39"/>
    <x:mergeCell ref="B40:D40"/>
    <x:mergeCell ref="B41:D41"/>
    <x:mergeCell ref="B42:D42"/>
    <x:mergeCell ref="B43:D43"/>
    <x:mergeCell ref="B44:D44"/>
    <x:mergeCell ref="B45:D45"/>
    <x:mergeCell ref="B46:D46"/>
    <x:mergeCell ref="B47:D47"/>
    <x:mergeCell ref="B48:D48"/>
    <x:mergeCell ref="B49:D49"/>
    <x:mergeCell ref="B50:D50"/>
    <x:mergeCell ref="B51:D51"/>
    <x:mergeCell ref="A52:F52"/>
  </x:mergeCells>
  <x:dataValidations count="4">
    <x:dataValidation type="list" errorStyle="stop" operator="between" allowBlank="1" showDropDown="0" showInputMessage="1" showErrorMessage="1" errorTitle="" error="" promptTitle="" prompt="" sqref="H12:H51">
      <x:formula1>"APROVADO,REPROVADO"</x:formula1>
      <x:formula2/>
    </x:dataValidation>
    <x:dataValidation type="list" errorStyle="stop" operator="between" allowBlank="1" showDropDown="0" showInputMessage="1" showErrorMessage="1" errorTitle="Selecao invalida" error="Selecione um item da lista." promptTitle="" prompt="" sqref="C6:C6">
      <x:formula1>=SIG_empresas</x:formula1>
      <x:formula2/>
    </x:dataValidation>
    <x:dataValidation type="list" errorStyle="stop" operator="between" allowBlank="1" showDropDown="0" showInputMessage="1" showErrorMessage="1" errorTitle="Selecao invalida" error="Selecione um item da lista." promptTitle="" prompt="" sqref="C7:C7">
      <x:formula1>=SIG_fornecedores</x:formula1>
      <x:formula2/>
    </x:dataValidation>
    <x:dataValidation type="list" errorStyle="stop" operator="between" allowBlank="1" showDropDown="0" showInputMessage="1" showErrorMessage="1" errorTitle="Selecao invalida" error="Selecione um item da lista." promptTitle="" prompt="" sqref="D8:D8">
      <x:formula1>=SIG_condicoes</x:formula1>
      <x:formula2/>
    </x:dataValidation>
  </x:dataValidations>
  <x:printOptions horizontalCentered="0" verticalCentered="0" headings="0" gridLines="0"/>
  <x:pageMargins left="0" right="0" top="0.7874015748031497" bottom="0.7874015748031497" header="0.31496062992125984" footer="0.31496062992125984"/>
  <x:pageSetup paperSize="9" pageOrder="downThenOver" orientation="portrait" blackAndWhite="0" draft="0" cellComments="none" errors="displayed" r:id="rId1"/>
  <x:headerFooter/>
  <x:drawing r:id="rId2"/>
  <x:legacyDrawing r:id="rId3"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9CCA211-0053-4117-BD2A-B782242192DA}" mc:Ignorable="x14ac xr xr2 xr3">
  <x:sheetPr codeName="Planilha2">
    <x:outlinePr summaryBelow="1" summaryRight="1"/>
  </x:sheetPr>
  <x:dimension ref="A1"/>
  <x:sheetViews>
    <x:sheetView workbookViewId="0"/>
  </x:sheetViews>
  <x:sheetFormatPr defaultRowHeight="15" x14ac:dyDescent="0.25"/>
  <x:sheetData/>
  <x:sortState xmlns:xlrd2="http://schemas.microsoft.com/office/spreadsheetml/2017/richdata2" ref="A1:AE2">
    <x:sortCondition ref="A1:A2"/>
  </x:sortState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4A2D80C8-8C71-40C2-A74D-9B9768511256}" mc:Ignorable="x14ac xr xr2 xr3">
  <x:sheetPr codeName="Planilha3">
    <x:outlinePr summaryBelow="1" summaryRight="1"/>
  </x:sheetPr>
  <x:dimension ref="A1"/>
  <x:sheetViews>
    <x:sheetView workbookViewId="0">
      <x:selection activeCell="A1" sqref="A1 1:1048576"/>
    </x:sheetView>
  </x:sheetViews>
  <x:sheetFormatPr defaultRowHeight="15" x14ac:dyDescent="0.25"/>
  <x:sheetData/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339D3D1-2370-433D-9AE4-6DE9B1B6D9A1}" mc:Ignorable="x14ac xr xr2 xr3">
  <x:sheetPr codeName="Planilha5">
    <x:outlinePr summaryBelow="1" summaryRight="1"/>
  </x:sheetPr>
  <x:dimension ref="A1:Q14"/>
  <x:sheetViews>
    <x:sheetView workbookViewId="0">
      <x:selection activeCell="A1" sqref="A1 1:1048576"/>
    </x:sheetView>
  </x:sheetViews>
  <x:sheetFormatPr defaultRowHeight="15" x14ac:dyDescent="0.25"/>
  <x:sheetData>
    <x:row r="1" spans="1:17" x14ac:dyDescent="0.25">
      <x:c r="A1" s="0" t="s">
        <x:v>19</x:v>
      </x:c>
      <x:c r="B1" s="0" t="s">
        <x:v>20</x:v>
      </x:c>
      <x:c r="C1" s="0" t="s">
        <x:v>21</x:v>
      </x:c>
      <x:c r="D1" s="0" t="s">
        <x:v>22</x:v>
      </x:c>
      <x:c r="E1" s="0" t="s">
        <x:v>23</x:v>
      </x:c>
      <x:c r="F1" s="0" t="s">
        <x:v>24</x:v>
      </x:c>
      <x:c r="G1" s="0" t="s">
        <x:v>25</x:v>
      </x:c>
      <x:c r="H1" s="0" t="s">
        <x:v>26</x:v>
      </x:c>
      <x:c r="I1" s="0" t="s">
        <x:v>27</x:v>
      </x:c>
      <x:c r="J1" s="0" t="s">
        <x:v>28</x:v>
      </x:c>
      <x:c r="K1" s="0" t="s">
        <x:v>29</x:v>
      </x:c>
      <x:c r="L1" s="0" t="s">
        <x:v>30</x:v>
      </x:c>
      <x:c r="M1" s="0" t="s">
        <x:v>31</x:v>
      </x:c>
      <x:c r="N1" s="0" t="s">
        <x:v>32</x:v>
      </x:c>
      <x:c r="O1" s="0" t="s">
        <x:v>33</x:v>
      </x:c>
      <x:c r="P1" s="0" t="s">
        <x:v>34</x:v>
      </x:c>
      <x:c r="Q1" s="0" t="s">
        <x:v>35</x:v>
      </x:c>
    </x:row>
    <x:row r="2" spans="1:17" x14ac:dyDescent="0.25">
      <x:c r="A2" s="0">
        <x:v>4</x:v>
      </x:c>
      <x:c r="B2" s="0" t="s">
        <x:v>36</x:v>
      </x:c>
      <x:c r="C2" s="0" t="s">
        <x:v>37</x:v>
      </x:c>
      <x:c r="D2" s="0" t="s">
        <x:v>38</x:v>
      </x:c>
      <x:c r="E2" s="0" t="s">
        <x:v>39</x:v>
      </x:c>
      <x:c r="G2" s="0" t="s">
        <x:v>40</x:v>
      </x:c>
      <x:c r="H2" s="0" t="s">
        <x:v>41</x:v>
      </x:c>
      <x:c r="I2" s="0" t="s">
        <x:v>42</x:v>
      </x:c>
      <x:c r="J2" s="0" t="s">
        <x:v>43</x:v>
      </x:c>
      <x:c r="K2" s="0" t="s">
        <x:v>44</x:v>
      </x:c>
      <x:c r="L2" s="0" t="s">
        <x:v>45</x:v>
      </x:c>
      <x:c r="M2" s="0" t="s">
        <x:v>46</x:v>
      </x:c>
      <x:c r="N2" s="0">
        <x:v>701</x:v>
      </x:c>
      <x:c r="O2" s="0" t="s">
        <x:v>47</x:v>
      </x:c>
    </x:row>
    <x:row r="3" spans="1:17" x14ac:dyDescent="0.25">
      <x:c r="A3" s="0">
        <x:v>5</x:v>
      </x:c>
      <x:c r="B3" s="0" t="s">
        <x:v>48</x:v>
      </x:c>
      <x:c r="C3" s="0" t="s">
        <x:v>49</x:v>
      </x:c>
      <x:c r="D3" s="0" t="s">
        <x:v>38</x:v>
      </x:c>
      <x:c r="E3" s="0" t="s">
        <x:v>50</x:v>
      </x:c>
      <x:c r="F3" s="0" t="s">
        <x:v>51</x:v>
      </x:c>
      <x:c r="G3" s="0" t="s">
        <x:v>40</x:v>
      </x:c>
      <x:c r="H3" s="0" t="s">
        <x:v>41</x:v>
      </x:c>
      <x:c r="I3" s="0" t="s">
        <x:v>42</x:v>
      </x:c>
      <x:c r="J3" s="0" t="s">
        <x:v>43</x:v>
      </x:c>
      <x:c r="K3" s="0" t="s">
        <x:v>44</x:v>
      </x:c>
      <x:c r="L3" s="0" t="s">
        <x:v>45</x:v>
      </x:c>
      <x:c r="M3" s="0" t="s">
        <x:v>46</x:v>
      </x:c>
      <x:c r="N3" s="0">
        <x:v>901</x:v>
      </x:c>
      <x:c r="O3" s="0" t="s">
        <x:v>52</x:v>
      </x:c>
    </x:row>
    <x:row r="4" spans="1:17" x14ac:dyDescent="0.25">
      <x:c r="A4" s="0">
        <x:v>1</x:v>
      </x:c>
      <x:c r="B4" s="0" t="s">
        <x:v>53</x:v>
      </x:c>
      <x:c r="C4" s="0" t="s">
        <x:v>54</x:v>
      </x:c>
      <x:c r="D4" s="0" t="s">
        <x:v>55</x:v>
      </x:c>
      <x:c r="E4" s="0" t="s">
        <x:v>56</x:v>
      </x:c>
      <x:c r="F4" s="0" t="s">
        <x:v>57</x:v>
      </x:c>
      <x:c r="G4" s="0" t="s">
        <x:v>58</x:v>
      </x:c>
      <x:c r="H4" s="0" t="s">
        <x:v>59</x:v>
      </x:c>
      <x:c r="I4" s="0" t="s">
        <x:v>42</x:v>
      </x:c>
      <x:c r="J4" s="0" t="s">
        <x:v>43</x:v>
      </x:c>
      <x:c r="K4" s="0" t="s">
        <x:v>44</x:v>
      </x:c>
      <x:c r="L4" s="0" t="s">
        <x:v>45</x:v>
      </x:c>
      <x:c r="M4" s="0" t="s">
        <x:v>46</x:v>
      </x:c>
      <x:c r="N4" s="0">
        <x:v>101</x:v>
      </x:c>
      <x:c r="O4" s="0" t="s">
        <x:v>60</x:v>
      </x:c>
    </x:row>
    <x:row r="5" spans="1:17" x14ac:dyDescent="0.25">
      <x:c r="A5" s="0">
        <x:v>7</x:v>
      </x:c>
      <x:c r="B5" s="0" t="s">
        <x:v>61</x:v>
      </x:c>
      <x:c r="C5" s="0" t="s">
        <x:v>62</x:v>
      </x:c>
      <x:c r="D5" s="0" t="s">
        <x:v>63</x:v>
      </x:c>
      <x:c r="E5" s="0" t="s">
        <x:v>64</x:v>
      </x:c>
      <x:c r="F5" s="0" t="s">
        <x:v>65</x:v>
      </x:c>
      <x:c r="G5" s="0" t="s">
        <x:v>66</x:v>
      </x:c>
      <x:c r="H5" s="0" t="s">
        <x:v>67</x:v>
      </x:c>
      <x:c r="I5" s="0" t="s">
        <x:v>42</x:v>
      </x:c>
      <x:c r="J5" s="0" t="s">
        <x:v>68</x:v>
      </x:c>
      <x:c r="K5" s="0" t="s">
        <x:v>69</x:v>
      </x:c>
      <x:c r="L5" s="0" t="s">
        <x:v>70</x:v>
      </x:c>
      <x:c r="M5" s="0" t="s">
        <x:v>70</x:v>
      </x:c>
      <x:c r="N5" s="0">
        <x:v>102</x:v>
      </x:c>
      <x:c r="O5" s="0" t="s">
        <x:v>71</x:v>
      </x:c>
    </x:row>
    <x:row r="6" spans="1:17" x14ac:dyDescent="0.25">
      <x:c r="A6" s="0">
        <x:v>13</x:v>
      </x:c>
      <x:c r="B6" s="0" t="s">
        <x:v>72</x:v>
      </x:c>
      <x:c r="C6" s="0" t="s">
        <x:v>73</x:v>
      </x:c>
      <x:c r="E6" s="0" t="s">
        <x:v>74</x:v>
      </x:c>
      <x:c r="N6" s="0">
        <x:v>301</x:v>
      </x:c>
      <x:c r="O6" s="0" t="s">
        <x:v>75</x:v>
      </x:c>
    </x:row>
    <x:row r="7" spans="1:17" x14ac:dyDescent="0.25">
      <x:c r="A7" s="0">
        <x:v>8</x:v>
      </x:c>
      <x:c r="B7" s="0" t="s">
        <x:v>76</x:v>
      </x:c>
      <x:c r="C7" s="0" t="s">
        <x:v>77</x:v>
      </x:c>
      <x:c r="D7" s="0" t="s">
        <x:v>78</x:v>
      </x:c>
      <x:c r="E7" s="0" t="s">
        <x:v>79</x:v>
      </x:c>
      <x:c r="G7" s="0" t="s">
        <x:v>80</x:v>
      </x:c>
      <x:c r="H7" s="0" t="s">
        <x:v>81</x:v>
      </x:c>
      <x:c r="I7" s="0" t="s">
        <x:v>42</x:v>
      </x:c>
      <x:c r="J7" s="0" t="s">
        <x:v>63</x:v>
      </x:c>
      <x:c r="K7" s="0" t="s">
        <x:v>69</x:v>
      </x:c>
      <x:c r="L7" s="0" t="s">
        <x:v>70</x:v>
      </x:c>
      <x:c r="M7" s="0" t="s">
        <x:v>70</x:v>
      </x:c>
      <x:c r="N7" s="0">
        <x:v>401</x:v>
      </x:c>
      <x:c r="O7" s="0" t="s">
        <x:v>82</x:v>
      </x:c>
    </x:row>
    <x:row r="8" spans="1:17" x14ac:dyDescent="0.25">
      <x:c r="A8" s="0">
        <x:v>2</x:v>
      </x:c>
      <x:c r="B8" s="0" t="s">
        <x:v>83</x:v>
      </x:c>
      <x:c r="C8" s="0" t="s">
        <x:v>84</x:v>
      </x:c>
      <x:c r="D8" s="0" t="s">
        <x:v>43</x:v>
      </x:c>
      <x:c r="E8" s="0" t="s">
        <x:v>85</x:v>
      </x:c>
      <x:c r="F8" s="0" t="s">
        <x:v>86</x:v>
      </x:c>
      <x:c r="G8" s="0" t="s">
        <x:v>40</x:v>
      </x:c>
      <x:c r="H8" s="0" t="s">
        <x:v>41</x:v>
      </x:c>
      <x:c r="I8" s="0" t="s">
        <x:v>42</x:v>
      </x:c>
      <x:c r="J8" s="0" t="s">
        <x:v>43</x:v>
      </x:c>
      <x:c r="K8" s="0" t="s">
        <x:v>44</x:v>
      </x:c>
      <x:c r="L8" s="0" t="s">
        <x:v>45</x:v>
      </x:c>
      <x:c r="M8" s="0" t="s">
        <x:v>46</x:v>
      </x:c>
      <x:c r="N8" s="0">
        <x:v>601</x:v>
      </x:c>
      <x:c r="O8" s="0" t="s">
        <x:v>87</x:v>
      </x:c>
    </x:row>
    <x:row r="9" spans="1:17" x14ac:dyDescent="0.25">
      <x:c r="A9" s="0">
        <x:v>10</x:v>
      </x:c>
      <x:c r="B9" s="0" t="s">
        <x:v>88</x:v>
      </x:c>
      <x:c r="C9" s="0" t="s">
        <x:v>89</x:v>
      </x:c>
      <x:c r="E9" s="0" t="s">
        <x:v>90</x:v>
      </x:c>
      <x:c r="N9" s="0">
        <x:v>1001</x:v>
      </x:c>
      <x:c r="O9" s="0" t="s">
        <x:v>91</x:v>
      </x:c>
    </x:row>
    <x:row r="10" spans="1:17" x14ac:dyDescent="0.25">
      <x:c r="A10" s="0">
        <x:v>6</x:v>
      </x:c>
      <x:c r="B10" s="0" t="s">
        <x:v>92</x:v>
      </x:c>
      <x:c r="C10" s="0" t="s">
        <x:v>93</x:v>
      </x:c>
      <x:c r="D10" s="0" t="s">
        <x:v>63</x:v>
      </x:c>
      <x:c r="E10" s="0" t="s">
        <x:v>94</x:v>
      </x:c>
      <x:c r="G10" s="0" t="s">
        <x:v>66</x:v>
      </x:c>
      <x:c r="H10" s="0" t="s">
        <x:v>67</x:v>
      </x:c>
      <x:c r="I10" s="0" t="s">
        <x:v>42</x:v>
      </x:c>
      <x:c r="J10" s="0" t="s">
        <x:v>95</x:v>
      </x:c>
      <x:c r="K10" s="0" t="s">
        <x:v>69</x:v>
      </x:c>
      <x:c r="L10" s="0" t="s">
        <x:v>70</x:v>
      </x:c>
      <x:c r="M10" s="0" t="s">
        <x:v>70</x:v>
      </x:c>
      <x:c r="N10" s="0">
        <x:v>501</x:v>
      </x:c>
      <x:c r="O10" s="0" t="s">
        <x:v>96</x:v>
      </x:c>
    </x:row>
    <x:row r="11" spans="1:17" x14ac:dyDescent="0.25">
      <x:c r="A11" s="0">
        <x:v>3</x:v>
      </x:c>
      <x:c r="B11" s="0" t="s">
        <x:v>97</x:v>
      </x:c>
      <x:c r="C11" s="0" t="s">
        <x:v>98</x:v>
      </x:c>
      <x:c r="D11" s="0" t="s">
        <x:v>99</x:v>
      </x:c>
      <x:c r="E11" s="0" t="s">
        <x:v>100</x:v>
      </x:c>
      <x:c r="G11" s="0" t="s">
        <x:v>40</x:v>
      </x:c>
      <x:c r="H11" s="0" t="s">
        <x:v>41</x:v>
      </x:c>
      <x:c r="I11" s="0" t="s">
        <x:v>42</x:v>
      </x:c>
      <x:c r="J11" s="0" t="s">
        <x:v>43</x:v>
      </x:c>
      <x:c r="K11" s="0" t="s">
        <x:v>101</x:v>
      </x:c>
      <x:c r="L11" s="0" t="s">
        <x:v>45</x:v>
      </x:c>
      <x:c r="M11" s="0" t="s">
        <x:v>46</x:v>
      </x:c>
      <x:c r="N11" s="0">
        <x:v>201</x:v>
      </x:c>
      <x:c r="O11" s="0" t="s">
        <x:v>102</x:v>
      </x:c>
    </x:row>
    <x:row r="12" spans="1:17" x14ac:dyDescent="0.25">
      <x:c r="A12" s="0">
        <x:v>12</x:v>
      </x:c>
      <x:c r="B12" s="0" t="s">
        <x:v>103</x:v>
      </x:c>
      <x:c r="C12" s="0" t="s">
        <x:v>103</x:v>
      </x:c>
      <x:c r="N12" s="0">
        <x:v>209</x:v>
      </x:c>
      <x:c r="O12" s="0" t="s">
        <x:v>104</x:v>
      </x:c>
    </x:row>
    <x:row r="13" spans="1:17" x14ac:dyDescent="0.25">
      <x:c r="A13" s="0">
        <x:v>11</x:v>
      </x:c>
      <x:c r="B13" s="0" t="s">
        <x:v>105</x:v>
      </x:c>
      <x:c r="C13" s="0" t="s">
        <x:v>98</x:v>
      </x:c>
      <x:c r="E13" s="0" t="s">
        <x:v>106</x:v>
      </x:c>
      <x:c r="N13" s="0">
        <x:v>202</x:v>
      </x:c>
      <x:c r="O13" s="0" t="s">
        <x:v>104</x:v>
      </x:c>
    </x:row>
    <x:row r="14" spans="1:17" x14ac:dyDescent="0.25">
      <x:c r="A14" s="0">
        <x:v>9</x:v>
      </x:c>
      <x:c r="B14" s="0" t="s">
        <x:v>107</x:v>
      </x:c>
      <x:c r="C14" s="0" t="s">
        <x:v>108</x:v>
      </x:c>
      <x:c r="D14" s="0" t="s">
        <x:v>109</x:v>
      </x:c>
      <x:c r="E14" s="0" t="s">
        <x:v>110</x:v>
      </x:c>
      <x:c r="F14" s="0" t="s">
        <x:v>111</x:v>
      </x:c>
      <x:c r="G14" s="0" t="s">
        <x:v>40</x:v>
      </x:c>
      <x:c r="H14" s="0" t="s">
        <x:v>41</x:v>
      </x:c>
      <x:c r="I14" s="0" t="s">
        <x:v>42</x:v>
      </x:c>
      <x:c r="J14" s="0" t="s">
        <x:v>112</x:v>
      </x:c>
      <x:c r="K14" s="0" t="s">
        <x:v>44</x:v>
      </x:c>
      <x:c r="L14" s="0" t="s">
        <x:v>45</x:v>
      </x:c>
      <x:c r="M14" s="0" t="s">
        <x:v>45</x:v>
      </x:c>
      <x:c r="N14" s="0">
        <x:v>801</x:v>
      </x:c>
      <x:c r="O14" s="0" t="s">
        <x:v>113</x:v>
      </x:c>
    </x:row>
  </x:sheetData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default" blackAndWhite="0" draft="0" cellComments="none" errors="displayed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3CE4D38D-DD93-4EFA-A471-0EA6041D71F6}" mc:Ignorable="x14ac xr xr2 xr3">
  <x:sheetPr codeName="Planilha4">
    <x:outlinePr summaryBelow="1" summaryRight="1"/>
  </x:sheetPr>
  <x:dimension ref="A1:Q14"/>
  <x:sheetViews>
    <x:sheetView workbookViewId="0">
      <x:selection activeCell="C24" sqref="C24"/>
    </x:sheetView>
  </x:sheetViews>
  <x:sheetFormatPr defaultRowHeight="15" x14ac:dyDescent="0.25"/>
  <x:cols>
    <x:col min="1" max="1" width="9.140625" style="0" customWidth="1"/>
    <x:col min="2" max="2" width="15.285156" style="0" bestFit="1" customWidth="1"/>
    <x:col min="3" max="3" width="68.285156" style="0" bestFit="1" customWidth="1"/>
    <x:col min="4" max="4" width="51.285156" style="0" bestFit="1" customWidth="1"/>
    <x:col min="5" max="5" width="15.140625" style="0" bestFit="1" customWidth="1"/>
    <x:col min="6" max="6" width="16.710938" style="0" bestFit="1" customWidth="1"/>
    <x:col min="7" max="7" width="19.710938" style="0" bestFit="1" customWidth="1"/>
    <x:col min="8" max="8" width="17.855469" style="0" bestFit="1" customWidth="1"/>
    <x:col min="9" max="9" width="9.285156" style="0" bestFit="1" customWidth="1"/>
    <x:col min="10" max="10" width="46.710938" style="0" bestFit="1" customWidth="1"/>
    <x:col min="11" max="11" width="9.710938" style="0" bestFit="1" customWidth="1"/>
    <x:col min="12" max="13" width="13.710938" style="0" bestFit="1" customWidth="1"/>
    <x:col min="14" max="14" width="7.710938" style="0" bestFit="1" customWidth="1"/>
    <x:col min="15" max="15" width="20.140625" style="0" bestFit="1" customWidth="1"/>
    <x:col min="16" max="16" width="14.570312" style="0" bestFit="1" customWidth="1"/>
    <x:col min="17" max="17" width="13.570312" style="0" bestFit="1" customWidth="1"/>
  </x:cols>
  <x:sheetData>
    <x:row r="1" spans="1:17" x14ac:dyDescent="0.25">
      <x:c r="A1" s="0" t="s">
        <x:v>19</x:v>
      </x:c>
      <x:c r="B1" s="0" t="s">
        <x:v>20</x:v>
      </x:c>
      <x:c r="C1" s="0" t="s">
        <x:v>21</x:v>
      </x:c>
      <x:c r="D1" s="0" t="s">
        <x:v>22</x:v>
      </x:c>
      <x:c r="E1" s="0" t="s">
        <x:v>23</x:v>
      </x:c>
      <x:c r="F1" s="0" t="s">
        <x:v>24</x:v>
      </x:c>
      <x:c r="G1" s="0" t="s">
        <x:v>25</x:v>
      </x:c>
      <x:c r="H1" s="0" t="s">
        <x:v>26</x:v>
      </x:c>
      <x:c r="I1" s="0" t="s">
        <x:v>27</x:v>
      </x:c>
      <x:c r="J1" s="0" t="s">
        <x:v>28</x:v>
      </x:c>
      <x:c r="K1" s="0" t="s">
        <x:v>29</x:v>
      </x:c>
      <x:c r="L1" s="0" t="s">
        <x:v>30</x:v>
      </x:c>
      <x:c r="M1" s="0" t="s">
        <x:v>31</x:v>
      </x:c>
      <x:c r="N1" s="0" t="s">
        <x:v>32</x:v>
      </x:c>
      <x:c r="O1" s="0" t="s">
        <x:v>33</x:v>
      </x:c>
      <x:c r="P1" s="0" t="s">
        <x:v>34</x:v>
      </x:c>
      <x:c r="Q1" s="0" t="s">
        <x:v>35</x:v>
      </x:c>
    </x:row>
    <x:row r="2" spans="1:17" x14ac:dyDescent="0.25">
      <x:c r="A2" s="0">
        <x:v>4</x:v>
      </x:c>
      <x:c r="B2" s="0" t="s">
        <x:v>36</x:v>
      </x:c>
      <x:c r="C2" s="0" t="s">
        <x:v>37</x:v>
      </x:c>
      <x:c r="D2" s="0" t="s">
        <x:v>38</x:v>
      </x:c>
      <x:c r="E2" s="0" t="s">
        <x:v>39</x:v>
      </x:c>
      <x:c r="G2" s="0" t="s">
        <x:v>40</x:v>
      </x:c>
      <x:c r="H2" s="0" t="s">
        <x:v>41</x:v>
      </x:c>
      <x:c r="I2" s="0" t="s">
        <x:v>42</x:v>
      </x:c>
      <x:c r="J2" s="0" t="s">
        <x:v>43</x:v>
      </x:c>
      <x:c r="K2" s="0" t="s">
        <x:v>44</x:v>
      </x:c>
      <x:c r="L2" s="0" t="s">
        <x:v>45</x:v>
      </x:c>
      <x:c r="M2" s="0" t="s">
        <x:v>46</x:v>
      </x:c>
      <x:c r="N2" s="0">
        <x:v>701</x:v>
      </x:c>
      <x:c r="O2" s="0" t="s">
        <x:v>47</x:v>
      </x:c>
    </x:row>
    <x:row r="3" spans="1:17" x14ac:dyDescent="0.25">
      <x:c r="A3" s="0">
        <x:v>5</x:v>
      </x:c>
      <x:c r="B3" s="0" t="s">
        <x:v>48</x:v>
      </x:c>
      <x:c r="C3" s="0" t="s">
        <x:v>49</x:v>
      </x:c>
      <x:c r="D3" s="0" t="s">
        <x:v>38</x:v>
      </x:c>
      <x:c r="E3" s="0" t="s">
        <x:v>50</x:v>
      </x:c>
      <x:c r="F3" s="0" t="s">
        <x:v>51</x:v>
      </x:c>
      <x:c r="G3" s="0" t="s">
        <x:v>40</x:v>
      </x:c>
      <x:c r="H3" s="0" t="s">
        <x:v>41</x:v>
      </x:c>
      <x:c r="I3" s="0" t="s">
        <x:v>42</x:v>
      </x:c>
      <x:c r="J3" s="0" t="s">
        <x:v>43</x:v>
      </x:c>
      <x:c r="K3" s="0" t="s">
        <x:v>44</x:v>
      </x:c>
      <x:c r="L3" s="0" t="s">
        <x:v>45</x:v>
      </x:c>
      <x:c r="M3" s="0" t="s">
        <x:v>46</x:v>
      </x:c>
      <x:c r="N3" s="0">
        <x:v>901</x:v>
      </x:c>
      <x:c r="O3" s="0" t="s">
        <x:v>52</x:v>
      </x:c>
    </x:row>
    <x:row r="4" spans="1:17" x14ac:dyDescent="0.25">
      <x:c r="A4" s="0">
        <x:v>1</x:v>
      </x:c>
      <x:c r="B4" s="0" t="s">
        <x:v>53</x:v>
      </x:c>
      <x:c r="C4" s="0" t="s">
        <x:v>54</x:v>
      </x:c>
      <x:c r="D4" s="0" t="s">
        <x:v>55</x:v>
      </x:c>
      <x:c r="E4" s="0" t="s">
        <x:v>56</x:v>
      </x:c>
      <x:c r="F4" s="0" t="s">
        <x:v>57</x:v>
      </x:c>
      <x:c r="G4" s="0" t="s">
        <x:v>58</x:v>
      </x:c>
      <x:c r="H4" s="0" t="s">
        <x:v>59</x:v>
      </x:c>
      <x:c r="I4" s="0" t="s">
        <x:v>42</x:v>
      </x:c>
      <x:c r="J4" s="0" t="s">
        <x:v>43</x:v>
      </x:c>
      <x:c r="K4" s="0" t="s">
        <x:v>44</x:v>
      </x:c>
      <x:c r="L4" s="0" t="s">
        <x:v>45</x:v>
      </x:c>
      <x:c r="M4" s="0" t="s">
        <x:v>46</x:v>
      </x:c>
      <x:c r="N4" s="0">
        <x:v>101</x:v>
      </x:c>
      <x:c r="O4" s="0" t="s">
        <x:v>60</x:v>
      </x:c>
    </x:row>
    <x:row r="5" spans="1:17" x14ac:dyDescent="0.25">
      <x:c r="A5" s="0">
        <x:v>7</x:v>
      </x:c>
      <x:c r="B5" s="0" t="s">
        <x:v>61</x:v>
      </x:c>
      <x:c r="C5" s="0" t="s">
        <x:v>62</x:v>
      </x:c>
      <x:c r="D5" s="0" t="s">
        <x:v>63</x:v>
      </x:c>
      <x:c r="E5" s="0" t="s">
        <x:v>64</x:v>
      </x:c>
      <x:c r="F5" s="0" t="s">
        <x:v>65</x:v>
      </x:c>
      <x:c r="G5" s="0" t="s">
        <x:v>66</x:v>
      </x:c>
      <x:c r="H5" s="0" t="s">
        <x:v>67</x:v>
      </x:c>
      <x:c r="I5" s="0" t="s">
        <x:v>42</x:v>
      </x:c>
      <x:c r="J5" s="0" t="s">
        <x:v>68</x:v>
      </x:c>
      <x:c r="K5" s="0" t="s">
        <x:v>69</x:v>
      </x:c>
      <x:c r="L5" s="0" t="s">
        <x:v>70</x:v>
      </x:c>
      <x:c r="M5" s="0" t="s">
        <x:v>70</x:v>
      </x:c>
      <x:c r="N5" s="0">
        <x:v>102</x:v>
      </x:c>
      <x:c r="O5" s="0" t="s">
        <x:v>71</x:v>
      </x:c>
    </x:row>
    <x:row r="6" spans="1:17" x14ac:dyDescent="0.25">
      <x:c r="A6" s="0">
        <x:v>13</x:v>
      </x:c>
      <x:c r="B6" s="0" t="s">
        <x:v>72</x:v>
      </x:c>
      <x:c r="C6" s="0" t="s">
        <x:v>73</x:v>
      </x:c>
      <x:c r="E6" s="0" t="s">
        <x:v>74</x:v>
      </x:c>
      <x:c r="N6" s="0">
        <x:v>301</x:v>
      </x:c>
      <x:c r="O6" s="0" t="s">
        <x:v>75</x:v>
      </x:c>
    </x:row>
    <x:row r="7" spans="1:17" x14ac:dyDescent="0.25">
      <x:c r="A7" s="0">
        <x:v>8</x:v>
      </x:c>
      <x:c r="B7" s="0" t="s">
        <x:v>76</x:v>
      </x:c>
      <x:c r="C7" s="0" t="s">
        <x:v>77</x:v>
      </x:c>
      <x:c r="D7" s="0" t="s">
        <x:v>78</x:v>
      </x:c>
      <x:c r="E7" s="0" t="s">
        <x:v>79</x:v>
      </x:c>
      <x:c r="G7" s="0" t="s">
        <x:v>80</x:v>
      </x:c>
      <x:c r="H7" s="0" t="s">
        <x:v>81</x:v>
      </x:c>
      <x:c r="I7" s="0" t="s">
        <x:v>42</x:v>
      </x:c>
      <x:c r="J7" s="0" t="s">
        <x:v>63</x:v>
      </x:c>
      <x:c r="K7" s="0" t="s">
        <x:v>69</x:v>
      </x:c>
      <x:c r="L7" s="0" t="s">
        <x:v>70</x:v>
      </x:c>
      <x:c r="M7" s="0" t="s">
        <x:v>70</x:v>
      </x:c>
      <x:c r="N7" s="0">
        <x:v>401</x:v>
      </x:c>
      <x:c r="O7" s="0" t="s">
        <x:v>82</x:v>
      </x:c>
    </x:row>
    <x:row r="8" spans="1:17" x14ac:dyDescent="0.25">
      <x:c r="A8" s="0">
        <x:v>2</x:v>
      </x:c>
      <x:c r="B8" s="0" t="s">
        <x:v>83</x:v>
      </x:c>
      <x:c r="C8" s="0" t="s">
        <x:v>84</x:v>
      </x:c>
      <x:c r="D8" s="0" t="s">
        <x:v>43</x:v>
      </x:c>
      <x:c r="E8" s="0" t="s">
        <x:v>85</x:v>
      </x:c>
      <x:c r="F8" s="0" t="s">
        <x:v>86</x:v>
      </x:c>
      <x:c r="G8" s="0" t="s">
        <x:v>40</x:v>
      </x:c>
      <x:c r="H8" s="0" t="s">
        <x:v>41</x:v>
      </x:c>
      <x:c r="I8" s="0" t="s">
        <x:v>42</x:v>
      </x:c>
      <x:c r="J8" s="0" t="s">
        <x:v>43</x:v>
      </x:c>
      <x:c r="K8" s="0" t="s">
        <x:v>44</x:v>
      </x:c>
      <x:c r="L8" s="0" t="s">
        <x:v>45</x:v>
      </x:c>
      <x:c r="M8" s="0" t="s">
        <x:v>46</x:v>
      </x:c>
      <x:c r="N8" s="0">
        <x:v>601</x:v>
      </x:c>
      <x:c r="O8" s="0" t="s">
        <x:v>87</x:v>
      </x:c>
    </x:row>
    <x:row r="9" spans="1:17" x14ac:dyDescent="0.25">
      <x:c r="A9" s="0">
        <x:v>10</x:v>
      </x:c>
      <x:c r="B9" s="0" t="s">
        <x:v>88</x:v>
      </x:c>
      <x:c r="C9" s="0" t="s">
        <x:v>89</x:v>
      </x:c>
      <x:c r="E9" s="0" t="s">
        <x:v>90</x:v>
      </x:c>
      <x:c r="N9" s="0">
        <x:v>1001</x:v>
      </x:c>
      <x:c r="O9" s="0" t="s">
        <x:v>91</x:v>
      </x:c>
    </x:row>
    <x:row r="10" spans="1:17" x14ac:dyDescent="0.25">
      <x:c r="A10" s="0">
        <x:v>6</x:v>
      </x:c>
      <x:c r="B10" s="0" t="s">
        <x:v>92</x:v>
      </x:c>
      <x:c r="C10" s="0" t="s">
        <x:v>93</x:v>
      </x:c>
      <x:c r="D10" s="0" t="s">
        <x:v>63</x:v>
      </x:c>
      <x:c r="E10" s="0" t="s">
        <x:v>94</x:v>
      </x:c>
      <x:c r="G10" s="0" t="s">
        <x:v>66</x:v>
      </x:c>
      <x:c r="H10" s="0" t="s">
        <x:v>67</x:v>
      </x:c>
      <x:c r="I10" s="0" t="s">
        <x:v>42</x:v>
      </x:c>
      <x:c r="J10" s="0" t="s">
        <x:v>95</x:v>
      </x:c>
      <x:c r="K10" s="0" t="s">
        <x:v>69</x:v>
      </x:c>
      <x:c r="L10" s="0" t="s">
        <x:v>70</x:v>
      </x:c>
      <x:c r="M10" s="0" t="s">
        <x:v>70</x:v>
      </x:c>
      <x:c r="N10" s="0">
        <x:v>501</x:v>
      </x:c>
      <x:c r="O10" s="0" t="s">
        <x:v>96</x:v>
      </x:c>
    </x:row>
    <x:row r="11" spans="1:17" x14ac:dyDescent="0.25">
      <x:c r="A11" s="0">
        <x:v>3</x:v>
      </x:c>
      <x:c r="B11" s="0" t="s">
        <x:v>97</x:v>
      </x:c>
      <x:c r="C11" s="0" t="s">
        <x:v>98</x:v>
      </x:c>
      <x:c r="D11" s="0" t="s">
        <x:v>99</x:v>
      </x:c>
      <x:c r="E11" s="0" t="s">
        <x:v>100</x:v>
      </x:c>
      <x:c r="G11" s="0" t="s">
        <x:v>40</x:v>
      </x:c>
      <x:c r="H11" s="0" t="s">
        <x:v>41</x:v>
      </x:c>
      <x:c r="I11" s="0" t="s">
        <x:v>42</x:v>
      </x:c>
      <x:c r="J11" s="0" t="s">
        <x:v>43</x:v>
      </x:c>
      <x:c r="K11" s="0" t="s">
        <x:v>101</x:v>
      </x:c>
      <x:c r="L11" s="0" t="s">
        <x:v>45</x:v>
      </x:c>
      <x:c r="M11" s="0" t="s">
        <x:v>46</x:v>
      </x:c>
      <x:c r="N11" s="0">
        <x:v>201</x:v>
      </x:c>
      <x:c r="O11" s="0" t="s">
        <x:v>102</x:v>
      </x:c>
    </x:row>
    <x:row r="12" spans="1:17" x14ac:dyDescent="0.25">
      <x:c r="A12" s="0">
        <x:v>12</x:v>
      </x:c>
      <x:c r="B12" s="0" t="s">
        <x:v>103</x:v>
      </x:c>
      <x:c r="C12" s="0" t="s">
        <x:v>103</x:v>
      </x:c>
      <x:c r="N12" s="0">
        <x:v>209</x:v>
      </x:c>
      <x:c r="O12" s="0" t="s">
        <x:v>104</x:v>
      </x:c>
    </x:row>
    <x:row r="13" spans="1:17" x14ac:dyDescent="0.25">
      <x:c r="A13" s="0">
        <x:v>11</x:v>
      </x:c>
      <x:c r="B13" s="0" t="s">
        <x:v>105</x:v>
      </x:c>
      <x:c r="C13" s="0" t="s">
        <x:v>98</x:v>
      </x:c>
      <x:c r="E13" s="0" t="s">
        <x:v>106</x:v>
      </x:c>
      <x:c r="N13" s="0">
        <x:v>202</x:v>
      </x:c>
      <x:c r="O13" s="0" t="s">
        <x:v>104</x:v>
      </x:c>
    </x:row>
    <x:row r="14" spans="1:17" x14ac:dyDescent="0.25">
      <x:c r="A14" s="0">
        <x:v>9</x:v>
      </x:c>
      <x:c r="B14" s="0" t="s">
        <x:v>107</x:v>
      </x:c>
      <x:c r="C14" s="0" t="s">
        <x:v>108</x:v>
      </x:c>
      <x:c r="D14" s="0" t="s">
        <x:v>109</x:v>
      </x:c>
      <x:c r="E14" s="0" t="s">
        <x:v>110</x:v>
      </x:c>
      <x:c r="F14" s="0" t="s">
        <x:v>111</x:v>
      </x:c>
      <x:c r="G14" s="0" t="s">
        <x:v>40</x:v>
      </x:c>
      <x:c r="H14" s="0" t="s">
        <x:v>41</x:v>
      </x:c>
      <x:c r="I14" s="0" t="s">
        <x:v>42</x:v>
      </x:c>
      <x:c r="J14" s="0" t="s">
        <x:v>112</x:v>
      </x:c>
      <x:c r="K14" s="0" t="s">
        <x:v>44</x:v>
      </x:c>
      <x:c r="L14" s="0" t="s">
        <x:v>45</x:v>
      </x:c>
      <x:c r="M14" s="0" t="s">
        <x:v>45</x:v>
      </x:c>
      <x:c r="N14" s="0">
        <x:v>801</x:v>
      </x:c>
      <x:c r="O14" s="0" t="s">
        <x:v>113</x:v>
      </x:c>
    </x:row>
  </x:sheetData>
  <x:printOptions horizontalCentered="0" verticalCentered="0" headings="0" gridLines="0"/>
  <x:pageMargins left="0.511811024" right="0.511811024" top="0.787401575" bottom="0.787401575" header="0.31496062" footer="0.31496062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6.xml><?xml version="1.0" encoding="utf-8"?>
<x:worksheet xmlns:r="http://schemas.openxmlformats.org/officeDocument/2006/relationships" xmlns:x14ac="http://schemas.microsoft.com/office/spreadsheetml/2009/9/ac" xmlns:mc="http://schemas.openxmlformats.org/markup-compatibility/2006" xmlns:x="http://schemas.openxmlformats.org/spreadsheetml/2006/main" mc:Ignorable="x14ac">
  <x:sheetPr>
    <x:outlinePr summaryBelow="1" summaryRight="1"/>
  </x:sheetPr>
  <x:dimension ref="A1:A13"/>
  <x:sheetViews>
    <x:sheetView workbookViewId="0"/>
  </x:sheetViews>
  <x:sheetFormatPr defaultRowHeight="15"/>
  <x:cols>
    <x:col min="1" max="3" width="9.140625" style="0" customWidth="1"/>
  </x:cols>
  <x:sheetData>
    <x:row r="1" spans="1:3">
      <x:c r="A1" s="0" t="s">
        <x:v>125</x:v>
      </x:c>
    </x:row>
    <x:row r="2" spans="1:3">
      <x:c r="A2" s="0" t="s">
        <x:v>124</x:v>
      </x:c>
    </x:row>
    <x:row r="3" spans="1:3">
      <x:c r="A3" s="0" t="s">
        <x:v>123</x:v>
      </x:c>
    </x:row>
    <x:row r="4" spans="1:3">
      <x:c r="A4" s="0" t="s">
        <x:v>4</x:v>
      </x:c>
    </x:row>
    <x:row r="5" spans="1:3">
      <x:c r="A5" s="0" t="s">
        <x:v>122</x:v>
      </x:c>
    </x:row>
    <x:row r="6" spans="1:3">
      <x:c r="A6" s="0" t="s">
        <x:v>121</x:v>
      </x:c>
    </x:row>
    <x:row r="7" spans="1:3">
      <x:c r="A7" s="0" t="s">
        <x:v>120</x:v>
      </x:c>
    </x:row>
    <x:row r="8" spans="1:3">
      <x:c r="A8" s="0" t="s">
        <x:v>119</x:v>
      </x:c>
    </x:row>
    <x:row r="9" spans="1:3">
      <x:c r="A9" s="0" t="s">
        <x:v>118</x:v>
      </x:c>
    </x:row>
    <x:row r="10" spans="1:3">
      <x:c r="A10" s="0" t="s">
        <x:v>117</x:v>
      </x:c>
    </x:row>
    <x:row r="11" spans="1:3">
      <x:c r="A11" s="0" t="s">
        <x:v>116</x:v>
      </x:c>
    </x:row>
    <x:row r="12" spans="1:3">
      <x:c r="A12" s="0" t="s">
        <x:v>115</x:v>
      </x:c>
    </x:row>
    <x:row r="13" spans="1:3">
      <x:c r="A13" s="0" t="s">
        <x:v>114</x:v>
      </x:c>
    </x:row>
  </x:sheetData>
  <x:printOptions horizontalCentered="0" verticalCentered="0" headings="0" gridLines="0"/>
  <x:pageMargins left="0.75" right="0.75" top="0.75" bottom="0.5" header="0.5" footer="0.75"/>
  <x:pageSetup paperSize="1" scale="100" pageOrder="downThenOver" orientation="default" blackAndWhite="0" draft="0" cellComments="none" errors="displayed"/>
  <x:headerFooter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ap:HeadingPairs>
  <ap:TitlesOfParts>
    <vt:vector baseType="lpstr" size="24">
      <vt:lpstr>PEDIDO</vt:lpstr>
      <vt:lpstr>fornecedores</vt:lpstr>
      <vt:lpstr>condicoes</vt:lpstr>
      <vt:lpstr>empresas</vt:lpstr>
      <vt:lpstr>empresas___</vt:lpstr>
      <vt:lpstr>_SIG_LISTAS</vt:lpstr>
      <vt:lpstr>PEDIDO!Print_Area</vt:lpstr>
      <vt:lpstr>PEDIDO!Print_Titles</vt:lpstr>
      <vt:lpstr>fornecedores!Print_Area</vt:lpstr>
      <vt:lpstr>fornecedores!Print_Titles</vt:lpstr>
      <vt:lpstr>condicoes!Print_Area</vt:lpstr>
      <vt:lpstr>condicoes!Print_Titles</vt:lpstr>
      <vt:lpstr>empresas!Print_Area</vt:lpstr>
      <vt:lpstr>empresas!Print_Titles</vt:lpstr>
      <vt:lpstr>empresas___!Print_Area</vt:lpstr>
      <vt:lpstr>empresas___!Print_Titles</vt:lpstr>
      <vt:lpstr>_SIG_LISTAS!Print_Area</vt:lpstr>
      <vt:lpstr>_SIG_LISTAS!Print_Titles</vt:lpstr>
      <vt:lpstr>condicoes</vt:lpstr>
      <vt:lpstr>empresas</vt:lpstr>
      <vt:lpstr>fornecedores</vt:lpstr>
      <vt:lpstr>SIG_empresas</vt:lpstr>
      <vt:lpstr>SIG_fornecedores</vt:lpstr>
      <vt:lpstr>SIG_condicoes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Wesley Oliveira Gomes</dc:creator>
  <lastModifiedBy>1443</lastModifiedBy>
  <lastPrinted>2023-07-29T19:23:34.0000000Z</lastPrinted>
  <dcterms:created xsi:type="dcterms:W3CDTF">2023-01-21T17:48:55.0000000Z</dcterms:created>
  <dcterms:modified xsi:type="dcterms:W3CDTF">2025-08-09T20:54:56.0000000Z</dcterms:modified>
</coreProperties>
</file>